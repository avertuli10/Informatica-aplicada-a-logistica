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ver\OneDrive\Área de Trabalho\TRABALHOS ARTHUR\"/>
    </mc:Choice>
  </mc:AlternateContent>
  <bookViews>
    <workbookView xWindow="0" yWindow="0" windowWidth="20490" windowHeight="7530" firstSheet="1" activeTab="3"/>
  </bookViews>
  <sheets>
    <sheet name="atividade de logistica noite" sheetId="1" r:id="rId1"/>
    <sheet name="Contagem de Paises" sheetId="7" r:id="rId2"/>
    <sheet name="Empresas no DF" sheetId="9" r:id="rId3"/>
    <sheet name="Adesão ao decreto" sheetId="12" r:id="rId4"/>
  </sheets>
  <calcPr calcId="162913"/>
  <pivotCaches>
    <pivotCache cacheId="0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</calcChain>
</file>

<file path=xl/sharedStrings.xml><?xml version="1.0" encoding="utf-8"?>
<sst xmlns="http://schemas.openxmlformats.org/spreadsheetml/2006/main" count="13859" uniqueCount="5471">
  <si>
    <t>uf</t>
  </si>
  <si>
    <t>PR</t>
  </si>
  <si>
    <t>DF</t>
  </si>
  <si>
    <t>GO</t>
  </si>
  <si>
    <t>SP</t>
  </si>
  <si>
    <t>AM</t>
  </si>
  <si>
    <t>PA</t>
  </si>
  <si>
    <t>RJ</t>
  </si>
  <si>
    <t>RO</t>
  </si>
  <si>
    <t>RS</t>
  </si>
  <si>
    <t>SC</t>
  </si>
  <si>
    <t>MT</t>
  </si>
  <si>
    <t>AC</t>
  </si>
  <si>
    <t>RR</t>
  </si>
  <si>
    <t>AP</t>
  </si>
  <si>
    <t>TO</t>
  </si>
  <si>
    <t>MA</t>
  </si>
  <si>
    <t>PI</t>
  </si>
  <si>
    <t>CE</t>
  </si>
  <si>
    <t>RN</t>
  </si>
  <si>
    <t>PB</t>
  </si>
  <si>
    <t>PE</t>
  </si>
  <si>
    <t>SE</t>
  </si>
  <si>
    <t>BA</t>
  </si>
  <si>
    <t>MG</t>
  </si>
  <si>
    <t>ES</t>
  </si>
  <si>
    <t>MS</t>
  </si>
  <si>
    <t>pais_de_origem</t>
  </si>
  <si>
    <t>razao_social</t>
  </si>
  <si>
    <t>cnpj</t>
  </si>
  <si>
    <t>logradouro</t>
  </si>
  <si>
    <t>cidade</t>
  </si>
  <si>
    <t>cep</t>
  </si>
  <si>
    <t>e_mail</t>
  </si>
  <si>
    <t>cotm</t>
  </si>
  <si>
    <t>adesao_ao_decreto_1563_95</t>
  </si>
  <si>
    <t>vigencia dia</t>
  </si>
  <si>
    <t>vigencia mês</t>
  </si>
  <si>
    <t>vigencia ano</t>
  </si>
  <si>
    <t>Coluna1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</si>
  <si>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</si>
  <si>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</si>
  <si>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</si>
  <si>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</si>
  <si>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</si>
  <si>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</si>
  <si>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</si>
  <si>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</si>
  <si>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</si>
  <si>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</si>
  <si>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</si>
  <si>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</si>
  <si>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</si>
  <si>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</si>
  <si>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</si>
  <si>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</si>
  <si>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</si>
  <si>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</si>
  <si>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</si>
  <si>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</si>
  <si>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</si>
  <si>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</si>
  <si>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</si>
  <si>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</si>
  <si>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</si>
  <si>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</si>
  <si>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</si>
  <si>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</si>
  <si>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</si>
  <si>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</si>
  <si>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</si>
  <si>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</si>
  <si>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</si>
  <si>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</si>
  <si>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</si>
  <si>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</si>
  <si>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</si>
  <si>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</si>
  <si>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</si>
  <si>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</si>
  <si>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</si>
  <si>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</si>
  <si>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</si>
  <si>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</si>
  <si>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</si>
  <si>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</si>
  <si>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</si>
  <si>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</si>
  <si>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</si>
  <si>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</si>
  <si>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</si>
  <si>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</si>
  <si>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</si>
  <si>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</si>
  <si>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</si>
  <si>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</si>
  <si>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</si>
  <si>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</si>
  <si>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</si>
  <si>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</si>
  <si>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</si>
  <si>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</si>
  <si>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</si>
  <si>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</si>
  <si>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</si>
  <si>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</si>
  <si>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</si>
  <si>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</si>
  <si>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</si>
  <si>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</si>
  <si>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</si>
  <si>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</si>
  <si>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</si>
  <si>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</si>
  <si>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</si>
  <si>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</si>
  <si>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</si>
  <si>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</si>
  <si>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</si>
  <si>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</si>
  <si>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</si>
  <si>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</si>
  <si>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</si>
  <si>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</si>
  <si>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</si>
  <si>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</si>
  <si>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</si>
  <si>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</si>
  <si>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</si>
  <si>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</si>
  <si>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</si>
  <si>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</si>
  <si>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</si>
  <si>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</si>
  <si>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</si>
  <si>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</si>
  <si>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</si>
  <si>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</si>
  <si>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</si>
  <si>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</si>
  <si>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</si>
  <si>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</si>
  <si>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</si>
  <si>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</si>
  <si>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</si>
  <si>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</si>
  <si>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</si>
  <si>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</si>
  <si>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</si>
  <si>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</si>
  <si>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</si>
  <si>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</si>
  <si>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</si>
  <si>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</si>
  <si>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</si>
  <si>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</si>
  <si>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</si>
  <si>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</si>
  <si>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</si>
  <si>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</si>
  <si>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</si>
  <si>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</si>
  <si>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</si>
  <si>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</si>
  <si>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</si>
  <si>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</si>
  <si>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</si>
  <si>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</si>
  <si>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</si>
  <si>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</si>
  <si>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</si>
  <si>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</si>
  <si>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</si>
  <si>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</si>
  <si>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</si>
  <si>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</si>
  <si>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</si>
  <si>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</si>
  <si>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</si>
  <si>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</si>
  <si>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</si>
  <si>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</si>
  <si>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</si>
  <si>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</si>
  <si>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</si>
  <si>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</si>
  <si>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</si>
  <si>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</si>
  <si>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</si>
  <si>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</si>
  <si>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</si>
  <si>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</si>
  <si>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</si>
  <si>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</si>
  <si>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</si>
  <si>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</si>
  <si>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</si>
  <si>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</si>
  <si>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</si>
  <si>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</si>
  <si>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</si>
  <si>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</si>
  <si>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</si>
  <si>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</si>
  <si>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</si>
  <si>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</si>
  <si>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</si>
  <si>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</si>
  <si>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</si>
  <si>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</si>
  <si>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</si>
  <si>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</si>
  <si>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</si>
  <si>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</si>
  <si>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</si>
  <si>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</si>
  <si>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</si>
  <si>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</si>
  <si>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</si>
  <si>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</si>
  <si>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</si>
  <si>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</si>
  <si>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</si>
  <si>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</si>
  <si>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</si>
  <si>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</si>
  <si>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</si>
  <si>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</si>
  <si>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</si>
  <si>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</si>
  <si>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</si>
  <si>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</si>
  <si>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</si>
  <si>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</si>
  <si>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</si>
  <si>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</si>
  <si>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</si>
  <si>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</si>
  <si>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</si>
  <si>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</si>
  <si>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</si>
  <si>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</si>
  <si>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</si>
  <si>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</si>
  <si>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</si>
  <si>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</si>
  <si>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</si>
  <si>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</si>
  <si>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</si>
  <si>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</si>
  <si>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</si>
  <si>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</si>
  <si>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</si>
  <si>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</si>
  <si>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</si>
  <si>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</si>
  <si>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</si>
  <si>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</si>
  <si>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</si>
  <si>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</si>
  <si>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</si>
  <si>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</si>
  <si>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</si>
  <si>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</si>
  <si>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</si>
  <si>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</si>
  <si>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</si>
  <si>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</si>
  <si>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</si>
  <si>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</si>
  <si>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</si>
  <si>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</si>
  <si>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</si>
  <si>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</si>
  <si>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</si>
  <si>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</si>
  <si>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</si>
  <si>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</si>
  <si>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</si>
  <si>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</si>
  <si>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</si>
  <si>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</si>
  <si>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</si>
  <si>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</si>
  <si>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</si>
  <si>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</si>
  <si>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</si>
  <si>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</si>
  <si>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</si>
  <si>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</si>
  <si>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</si>
  <si>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</si>
  <si>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</si>
  <si>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</si>
  <si>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</si>
  <si>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</si>
  <si>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</si>
  <si>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</si>
  <si>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</si>
  <si>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</si>
  <si>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</si>
  <si>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</si>
  <si>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</si>
  <si>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</si>
  <si>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</si>
  <si>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</si>
  <si>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</si>
  <si>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</si>
  <si>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</si>
  <si>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</si>
  <si>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</si>
  <si>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</si>
  <si>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</si>
  <si>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</si>
  <si>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</si>
  <si>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</si>
  <si>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</si>
  <si>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</si>
  <si>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</si>
  <si>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</si>
  <si>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</si>
  <si>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</si>
  <si>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</si>
  <si>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</si>
  <si>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</si>
  <si>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</si>
  <si>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</si>
  <si>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</si>
  <si>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</si>
  <si>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</si>
  <si>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</si>
  <si>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</si>
  <si>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</si>
  <si>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</si>
  <si>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</si>
  <si>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</si>
  <si>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</si>
  <si>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</si>
  <si>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</si>
  <si>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</si>
  <si>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</si>
  <si>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</si>
  <si>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</si>
  <si>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</si>
  <si>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</si>
  <si>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</si>
  <si>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</si>
  <si>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</si>
  <si>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</si>
  <si>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</si>
  <si>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</si>
  <si>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</si>
  <si>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</si>
  <si>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</si>
  <si>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</si>
  <si>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</si>
  <si>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</si>
  <si>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</si>
  <si>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</si>
  <si>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</si>
  <si>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</si>
  <si>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</si>
  <si>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</si>
  <si>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</si>
  <si>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</si>
  <si>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</si>
  <si>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</si>
  <si>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</si>
  <si>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</si>
  <si>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</si>
  <si>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</si>
  <si>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</si>
  <si>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</si>
  <si>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</si>
  <si>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</si>
  <si>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</si>
  <si>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</si>
  <si>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</si>
  <si>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</si>
  <si>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</si>
  <si>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</si>
  <si>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</si>
  <si>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</si>
  <si>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</si>
  <si>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</si>
  <si>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</si>
  <si>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</si>
  <si>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</si>
  <si>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</si>
  <si>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</si>
  <si>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</si>
  <si>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</si>
  <si>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</si>
  <si>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</si>
  <si>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</si>
  <si>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</si>
  <si>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</si>
  <si>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</si>
  <si>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</si>
  <si>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</si>
  <si>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</si>
  <si>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</si>
  <si>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</si>
  <si>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</si>
  <si>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</si>
  <si>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</si>
  <si>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</si>
  <si>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</si>
  <si>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</si>
  <si>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</si>
  <si>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</si>
  <si>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</si>
  <si>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</si>
  <si>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</si>
  <si>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</si>
  <si>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</si>
  <si>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</si>
  <si>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</si>
  <si>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</si>
  <si>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</si>
  <si>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</si>
  <si>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</si>
  <si>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</si>
  <si>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</si>
  <si>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</si>
  <si>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</si>
  <si>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</si>
  <si>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</si>
  <si>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</si>
  <si>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</si>
  <si>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</si>
  <si>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</si>
  <si>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</si>
  <si>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</si>
  <si>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</si>
  <si>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</si>
  <si>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</si>
  <si>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</si>
  <si>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</si>
  <si>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</si>
  <si>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</si>
  <si>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</si>
  <si>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</si>
  <si>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</si>
  <si>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</si>
  <si>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</si>
  <si>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</si>
  <si>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</si>
  <si>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</si>
  <si>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</si>
  <si>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</si>
  <si>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</si>
  <si>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</si>
  <si>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</si>
  <si>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</si>
  <si>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</si>
  <si>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</si>
  <si>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</si>
  <si>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</si>
  <si>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</si>
  <si>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</si>
  <si>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</si>
  <si>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</si>
  <si>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</si>
  <si>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</si>
  <si>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</si>
  <si>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</si>
  <si>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</si>
  <si>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</si>
  <si>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</si>
  <si>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</si>
  <si>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</si>
  <si>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</si>
  <si>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</si>
  <si>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</si>
  <si>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</si>
  <si>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</si>
  <si>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</si>
  <si>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</si>
  <si>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</si>
  <si>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</si>
  <si>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</si>
  <si>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</si>
  <si>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</si>
  <si>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</si>
  <si>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</si>
  <si>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</si>
  <si>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</si>
  <si>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</si>
  <si>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</si>
  <si>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</si>
  <si>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</si>
  <si>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</si>
  <si>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</si>
  <si>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</si>
  <si>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</si>
  <si>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</si>
  <si>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</si>
  <si>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</si>
  <si>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</si>
  <si>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</si>
  <si>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</si>
  <si>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</si>
  <si>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</si>
  <si>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</si>
  <si>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</si>
  <si>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</si>
  <si>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</si>
  <si>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</si>
  <si>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</si>
  <si>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</si>
  <si>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</si>
  <si>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</si>
  <si>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</si>
  <si>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</si>
  <si>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</si>
  <si>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</si>
  <si>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</si>
  <si>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</si>
  <si>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</si>
  <si>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</si>
  <si>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</si>
  <si>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</si>
  <si>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</si>
  <si>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</si>
  <si>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</si>
  <si>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</si>
  <si>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</si>
  <si>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</si>
  <si>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</si>
  <si>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</si>
  <si>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</si>
  <si>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</si>
  <si>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</si>
  <si>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</si>
  <si>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</si>
  <si>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</si>
  <si>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</si>
  <si>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</si>
  <si>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</si>
  <si>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</si>
  <si>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</si>
  <si>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</si>
  <si>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</si>
  <si>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</si>
  <si>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</si>
  <si>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</si>
  <si>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</si>
  <si>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</si>
  <si>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</si>
  <si>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</si>
  <si>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</si>
  <si>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</si>
  <si>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</si>
  <si>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</si>
  <si>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</si>
  <si>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</si>
  <si>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</si>
  <si>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</si>
  <si>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</si>
  <si>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</si>
  <si>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</si>
  <si>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</si>
  <si>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</si>
  <si>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</si>
  <si>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</si>
  <si>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</si>
  <si>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</si>
  <si>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</si>
  <si>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</si>
  <si>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</si>
  <si>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</si>
  <si>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</si>
  <si>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</si>
  <si>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</si>
  <si>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</si>
  <si>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</si>
  <si>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</si>
  <si>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</si>
  <si>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</si>
  <si>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</si>
  <si>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</si>
  <si>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</si>
  <si>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</si>
  <si>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</si>
  <si>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</si>
  <si>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</si>
  <si>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</si>
  <si>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</si>
  <si>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</si>
  <si>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</si>
  <si>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</si>
  <si>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</si>
  <si>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</si>
  <si>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</si>
  <si>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</si>
  <si>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</si>
  <si>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</si>
  <si>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</si>
  <si>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</si>
  <si>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</si>
  <si>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</si>
  <si>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</si>
  <si>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</si>
  <si>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</si>
  <si>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</si>
  <si>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</si>
  <si>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</si>
  <si>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</si>
  <si>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</si>
  <si>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</si>
  <si>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</si>
  <si>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</si>
  <si>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</si>
  <si>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</si>
  <si>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</si>
  <si>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</si>
  <si>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</si>
  <si>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</si>
  <si>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</si>
  <si>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</si>
  <si>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</si>
  <si>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</si>
  <si>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</si>
  <si>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</si>
  <si>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</si>
  <si>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</si>
  <si>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</si>
  <si>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</si>
  <si>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</si>
  <si>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</si>
  <si>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</si>
  <si>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</si>
  <si>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</si>
  <si>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</si>
  <si>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</si>
  <si>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</si>
  <si>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</si>
  <si>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</si>
  <si>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</si>
  <si>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</si>
  <si>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</si>
  <si>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</si>
  <si>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</si>
  <si>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</si>
  <si>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</si>
  <si>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</si>
  <si>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</si>
  <si>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</si>
  <si>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</si>
  <si>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</si>
  <si>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</si>
  <si>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</si>
  <si>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</si>
  <si>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</si>
  <si>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</si>
  <si>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</si>
  <si>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</si>
  <si>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</si>
  <si>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</si>
  <si>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</si>
  <si>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</si>
  <si>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</si>
  <si>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</si>
  <si>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</si>
  <si>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</si>
  <si>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</si>
  <si>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</si>
  <si>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</si>
  <si>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</si>
  <si>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</si>
  <si>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</si>
  <si>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</si>
  <si>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</si>
  <si>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</si>
  <si>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</si>
  <si>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</si>
  <si>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</si>
  <si>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</si>
  <si>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</si>
  <si>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</si>
  <si>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</si>
  <si>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</si>
  <si>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</si>
  <si>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</si>
  <si>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</si>
  <si>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</si>
  <si>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</si>
  <si>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</si>
  <si>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</si>
  <si>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</si>
  <si>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</si>
  <si>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</si>
  <si>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</si>
  <si>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</si>
  <si>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</si>
  <si>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</si>
  <si>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</si>
  <si>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</si>
  <si>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</si>
  <si>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</si>
  <si>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</si>
  <si>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</si>
  <si>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</si>
  <si>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</si>
  <si>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</si>
  <si>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</si>
  <si>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</si>
  <si>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</si>
  <si>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</si>
  <si>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</si>
  <si>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</si>
  <si>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</si>
  <si>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</si>
  <si>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</si>
  <si>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</si>
  <si>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</si>
  <si>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</si>
  <si>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</si>
  <si>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</si>
  <si>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</si>
  <si>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</si>
  <si>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</si>
  <si>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</si>
  <si>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</si>
  <si>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</si>
  <si>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</si>
  <si>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</si>
  <si>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</si>
  <si>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</si>
  <si>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</si>
  <si>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</si>
  <si>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</si>
  <si>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</si>
  <si>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</si>
  <si>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</si>
  <si>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</si>
  <si>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</si>
  <si>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</si>
  <si>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</si>
  <si>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</si>
  <si>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</si>
  <si>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</si>
  <si>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</si>
  <si>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</si>
  <si>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</si>
  <si>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</si>
  <si>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</si>
  <si>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</si>
  <si>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</si>
  <si>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</si>
  <si>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</si>
  <si>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</si>
  <si>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</si>
  <si>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</si>
  <si>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</si>
  <si>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</si>
  <si>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</si>
  <si>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</si>
  <si>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</si>
  <si>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</si>
  <si>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</si>
  <si>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</si>
  <si>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</si>
  <si>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</si>
  <si>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</si>
  <si>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</si>
  <si>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</si>
  <si>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</si>
  <si>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</si>
  <si>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</si>
  <si>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</si>
  <si>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</si>
  <si>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</si>
  <si>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</si>
  <si>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</si>
  <si>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</si>
  <si>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</si>
  <si>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</si>
  <si>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</si>
  <si>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</si>
  <si>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</si>
  <si>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</si>
  <si>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</si>
  <si>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</si>
  <si>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</si>
  <si>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</si>
  <si>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</si>
  <si>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</si>
  <si>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</si>
  <si>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</si>
  <si>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</si>
  <si>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</si>
  <si>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</si>
  <si>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</si>
  <si>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</si>
  <si>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</si>
  <si>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</si>
  <si>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</si>
  <si>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</si>
  <si>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</si>
  <si>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</si>
  <si>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</si>
  <si>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</si>
  <si>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</si>
  <si>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</si>
  <si>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</si>
  <si>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</si>
  <si>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</si>
  <si>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</si>
  <si>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</si>
  <si>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</si>
  <si>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</si>
  <si>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</si>
  <si>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</si>
  <si>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</si>
  <si>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</si>
  <si>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</si>
  <si>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</si>
  <si>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</si>
  <si>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</si>
  <si>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</si>
  <si>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</si>
  <si>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</si>
  <si>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</si>
  <si>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</si>
  <si>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</si>
  <si>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</si>
  <si>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</si>
  <si>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</si>
  <si>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</si>
  <si>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</si>
  <si>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</si>
  <si>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</si>
  <si>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</si>
  <si>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</si>
  <si>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</si>
  <si>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</si>
  <si>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</si>
  <si>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</si>
  <si>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</si>
  <si>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</si>
  <si>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</si>
  <si>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</si>
  <si>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</si>
  <si>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</si>
  <si>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</si>
  <si>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</si>
  <si>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</si>
  <si>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</si>
  <si>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</si>
  <si>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</si>
  <si>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</si>
  <si>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</si>
  <si>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</si>
  <si>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</si>
  <si>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</si>
  <si>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</si>
  <si>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</si>
  <si>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</si>
  <si>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</si>
  <si>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</si>
  <si>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</si>
  <si>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</si>
  <si>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</si>
  <si>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</si>
  <si>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</si>
  <si>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</si>
  <si>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</si>
  <si>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</si>
  <si>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</si>
  <si>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</si>
  <si>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</si>
  <si>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</si>
  <si>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</si>
  <si>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</si>
  <si>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</si>
  <si>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</si>
  <si>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</si>
  <si>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</si>
  <si>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</si>
  <si>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</si>
  <si>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</si>
  <si>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</si>
  <si>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</si>
  <si>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</si>
  <si>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</si>
  <si>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</si>
  <si>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</si>
  <si>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</si>
  <si>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</si>
  <si>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</si>
  <si>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</si>
  <si>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</si>
  <si>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</si>
  <si>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</si>
  <si>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</si>
  <si>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</si>
  <si>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</si>
  <si>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</si>
  <si>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</si>
  <si>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</si>
  <si>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</si>
  <si>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</si>
  <si>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</si>
  <si>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</si>
  <si>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</si>
  <si>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</si>
  <si>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</si>
  <si>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</si>
  <si>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</si>
  <si>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</si>
  <si>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</si>
  <si>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</si>
  <si>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</si>
  <si>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</si>
  <si>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</si>
  <si>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</si>
  <si>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</si>
  <si>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</si>
  <si>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</si>
  <si>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</si>
  <si>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</si>
  <si>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</si>
  <si>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</si>
  <si>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</si>
  <si>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</si>
  <si>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</si>
  <si>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</si>
  <si>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</si>
  <si>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</si>
  <si>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</si>
  <si>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</si>
  <si>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</si>
  <si>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</si>
  <si>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</si>
  <si>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</si>
  <si>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</si>
  <si>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</si>
  <si>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</si>
  <si>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</si>
  <si>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</si>
  <si>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</si>
  <si>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</si>
  <si>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</si>
  <si>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</si>
  <si>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</si>
  <si>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</si>
  <si>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</si>
  <si>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</si>
  <si>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</si>
  <si>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</si>
  <si>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</si>
  <si>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</si>
  <si>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</si>
  <si>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</si>
  <si>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</si>
  <si>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</si>
  <si>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</si>
  <si>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</si>
  <si>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</si>
  <si>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</si>
  <si>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</si>
  <si>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</si>
  <si>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</si>
  <si>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</si>
  <si>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</si>
  <si>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</si>
  <si>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</si>
  <si>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</si>
  <si>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</si>
  <si>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</si>
  <si>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</si>
  <si>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</si>
  <si>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</si>
  <si>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</si>
  <si>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</si>
  <si>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</si>
  <si>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</si>
  <si>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</si>
  <si>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</si>
  <si>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</si>
  <si>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</si>
  <si>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</si>
  <si>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</si>
  <si>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</si>
  <si>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</si>
  <si>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</si>
  <si>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</si>
  <si>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</si>
  <si>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</si>
  <si>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</si>
  <si>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</si>
  <si>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</si>
  <si>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</si>
  <si>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</si>
  <si>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</si>
  <si>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</si>
  <si>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</si>
  <si>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</si>
  <si>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</si>
  <si>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</si>
  <si>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</si>
  <si>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</si>
  <si>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</si>
  <si>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</si>
  <si>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</si>
  <si>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</si>
  <si>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</si>
  <si>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</si>
  <si>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</si>
  <si>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</si>
  <si>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</si>
  <si>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</si>
  <si>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</si>
  <si>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</si>
  <si>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</si>
  <si>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</si>
  <si>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</si>
  <si>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</si>
  <si>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</si>
  <si>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</si>
  <si>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</si>
  <si>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</si>
  <si>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</si>
  <si>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</si>
  <si>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</si>
  <si>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</si>
  <si>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</si>
  <si>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</si>
  <si>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</si>
  <si>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</si>
  <si>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</si>
  <si>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</si>
  <si>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</si>
  <si>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</si>
  <si>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</si>
  <si>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</si>
  <si>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</si>
  <si>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</si>
  <si>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</si>
  <si>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</si>
  <si>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</si>
  <si>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</si>
  <si>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</si>
  <si>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</si>
  <si>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</si>
  <si>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</si>
  <si>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</si>
  <si>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</si>
  <si>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</si>
  <si>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</si>
  <si>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</si>
  <si>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</si>
  <si>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</si>
  <si>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</si>
  <si>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</si>
  <si>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</si>
  <si>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</si>
  <si>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</si>
  <si>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</si>
  <si>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</si>
  <si>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</si>
  <si>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</si>
  <si>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</si>
  <si>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</si>
  <si>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</si>
  <si>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</si>
  <si>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</si>
  <si>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</si>
  <si>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</si>
  <si>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</si>
  <si>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</si>
  <si>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</si>
  <si>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</si>
  <si>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</si>
  <si>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</si>
  <si>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</si>
  <si>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</si>
  <si>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</si>
  <si>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</si>
  <si>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</si>
  <si>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</si>
  <si>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</si>
  <si>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</si>
  <si>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</si>
  <si>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</si>
  <si>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</si>
  <si>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</si>
  <si>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</si>
  <si>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</si>
  <si>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</si>
  <si>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</si>
  <si>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</si>
  <si>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</si>
  <si>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</si>
  <si>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</si>
  <si>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</si>
  <si>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</si>
  <si>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</si>
  <si>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</si>
  <si>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</si>
  <si>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</si>
  <si>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</si>
  <si>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</si>
  <si>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</si>
  <si>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</si>
  <si>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</si>
  <si>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</si>
  <si>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</si>
  <si>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</si>
  <si>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</si>
  <si>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</si>
  <si>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</si>
  <si>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</si>
  <si>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</si>
  <si>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</si>
  <si>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</si>
  <si>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</si>
  <si>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</si>
  <si>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</si>
  <si>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</si>
  <si>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</si>
  <si>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</si>
  <si>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</si>
  <si>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</si>
  <si>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</si>
  <si>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</si>
  <si>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</si>
  <si>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</si>
  <si>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</si>
  <si>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</si>
  <si>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</si>
  <si>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</si>
  <si>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</si>
  <si>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</si>
  <si>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</si>
  <si>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</si>
  <si>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</si>
  <si>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</si>
  <si>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</si>
  <si>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</si>
  <si>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</si>
  <si>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</si>
  <si>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</si>
  <si>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</si>
  <si>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</si>
  <si>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</si>
  <si>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</si>
  <si>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</si>
  <si>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</si>
  <si>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</si>
  <si>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</si>
  <si>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</si>
  <si>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</si>
  <si>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</si>
  <si>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</si>
  <si>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</si>
  <si>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</si>
  <si>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</si>
  <si>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</si>
  <si>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</si>
  <si>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</si>
  <si>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</si>
  <si>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</si>
  <si>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</si>
  <si>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</si>
  <si>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</si>
  <si>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</si>
  <si>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</si>
  <si>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</si>
  <si>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</si>
  <si>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</si>
  <si>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</si>
  <si>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</si>
  <si>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</si>
  <si>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</si>
  <si>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</si>
  <si>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</si>
  <si>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</si>
  <si>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</si>
  <si>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</si>
  <si>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</si>
  <si>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</si>
  <si>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</si>
  <si>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</si>
  <si>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</si>
  <si>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</si>
  <si>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</si>
  <si>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</si>
  <si>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</si>
  <si>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</si>
  <si>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</si>
  <si>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</si>
  <si>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</si>
  <si>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</si>
  <si>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</si>
  <si>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</si>
  <si>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</si>
  <si>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</si>
  <si>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</si>
  <si>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</si>
  <si>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</si>
  <si>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</si>
  <si>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</si>
  <si>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</si>
  <si>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</si>
  <si>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</si>
  <si>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</si>
  <si>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</si>
  <si>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</si>
  <si>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</si>
  <si>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</si>
  <si>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</si>
  <si>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</si>
  <si>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</si>
  <si>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</si>
  <si>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</si>
  <si>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</si>
  <si>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</si>
  <si>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</si>
  <si>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</si>
  <si>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</si>
  <si>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</si>
  <si>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</si>
  <si>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</si>
  <si>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</si>
  <si>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</si>
  <si>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</si>
  <si>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</si>
  <si>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</si>
  <si>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</si>
  <si>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</si>
  <si>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</si>
  <si>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</si>
  <si>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</si>
  <si>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</si>
  <si>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</si>
  <si>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</si>
  <si>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</si>
  <si>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</si>
  <si>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</si>
  <si>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</si>
  <si>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</si>
  <si>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</si>
  <si>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</si>
  <si>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</si>
  <si>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</si>
  <si>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</si>
  <si>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</si>
  <si>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</si>
  <si>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</si>
  <si>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</si>
  <si>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</si>
  <si>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</si>
  <si>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</si>
  <si>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</si>
  <si>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</si>
  <si>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</si>
  <si>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</si>
  <si>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</si>
  <si>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</si>
  <si>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</si>
  <si>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</si>
  <si>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</si>
  <si>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</si>
  <si>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</si>
  <si>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</si>
  <si>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</si>
  <si>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</si>
  <si>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</si>
  <si>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</si>
  <si>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</si>
  <si>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</si>
  <si>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</si>
  <si>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</si>
  <si>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</si>
  <si>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</si>
  <si>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</si>
  <si>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</si>
  <si>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</si>
  <si>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</si>
  <si>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</si>
  <si>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</si>
  <si>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</si>
  <si>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</si>
  <si>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</si>
  <si>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</si>
  <si>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</si>
  <si>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</si>
  <si>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</si>
  <si>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</si>
  <si>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</si>
  <si>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</si>
  <si>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</si>
  <si>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</si>
  <si>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</si>
  <si>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</si>
  <si>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</si>
  <si>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</si>
  <si>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</si>
  <si>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</si>
  <si>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</si>
  <si>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</si>
  <si>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</si>
  <si>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</si>
  <si>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</si>
  <si>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</si>
  <si>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</si>
  <si>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</si>
  <si>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</si>
  <si>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</si>
  <si>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</si>
  <si>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</si>
  <si>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</si>
  <si>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</si>
  <si>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</si>
  <si>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</si>
  <si>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</si>
  <si>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</si>
  <si>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</si>
  <si>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</si>
  <si>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</si>
  <si>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</si>
  <si>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</si>
  <si>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</si>
  <si>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</si>
  <si>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</si>
  <si>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</si>
  <si>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</si>
  <si>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</si>
  <si>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</si>
  <si>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</si>
  <si>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</si>
  <si>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</si>
  <si>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</si>
  <si>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</si>
  <si>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</si>
  <si>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</si>
  <si>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</si>
  <si>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</si>
  <si>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</si>
  <si>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</si>
  <si>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</si>
  <si>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</si>
  <si>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</si>
  <si>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</si>
  <si>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</si>
  <si>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</si>
  <si>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</si>
  <si>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</si>
  <si>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</si>
  <si>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</si>
  <si>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</si>
  <si>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</si>
  <si>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</si>
  <si>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</si>
  <si>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</si>
  <si>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</si>
  <si>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</si>
  <si>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</si>
  <si>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</si>
  <si>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</si>
  <si>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</si>
  <si>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</si>
  <si>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</si>
  <si>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</si>
  <si>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</si>
  <si>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</si>
  <si>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</si>
  <si>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</si>
  <si>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</si>
  <si>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</si>
  <si>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</si>
  <si>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</si>
  <si>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</si>
  <si>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</si>
  <si>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</si>
  <si>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</si>
  <si>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</si>
  <si>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</si>
  <si>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</si>
  <si>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</si>
  <si>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</si>
  <si>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</si>
  <si>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</si>
  <si>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</si>
  <si>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</si>
  <si>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</si>
  <si>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</si>
  <si>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</si>
  <si>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</si>
  <si>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</si>
  <si>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</si>
  <si>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</si>
  <si>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</si>
  <si>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</si>
  <si>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</si>
  <si>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</si>
  <si>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</si>
  <si>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</si>
  <si>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</si>
  <si>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</si>
  <si>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</si>
  <si>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</si>
  <si>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</si>
  <si>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</si>
  <si>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</si>
  <si>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</si>
  <si>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</si>
  <si>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</si>
  <si>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</si>
  <si>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</si>
  <si>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</si>
  <si>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</si>
  <si>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</si>
  <si>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</si>
  <si>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</si>
  <si>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</si>
  <si>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</si>
  <si>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</si>
  <si>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</si>
  <si>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</si>
  <si>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</si>
  <si>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</si>
  <si>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</si>
  <si>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</si>
  <si>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</si>
  <si>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</si>
  <si>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</si>
  <si>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</si>
  <si>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</si>
  <si>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</si>
  <si>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</si>
  <si>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</si>
  <si>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</si>
  <si>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</si>
  <si>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</si>
  <si>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</si>
  <si>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</si>
  <si>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</si>
  <si>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</si>
  <si>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</si>
  <si>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</si>
  <si>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</si>
  <si>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</si>
  <si>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</si>
  <si>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</si>
  <si>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</si>
  <si>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</si>
  <si>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</si>
  <si>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</si>
  <si>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</si>
  <si>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</si>
  <si>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</si>
  <si>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</si>
  <si>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</si>
  <si>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</si>
  <si>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</si>
  <si>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</si>
  <si>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</si>
  <si>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</si>
  <si>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</si>
  <si>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</si>
  <si>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</si>
  <si>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</si>
  <si>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</si>
  <si>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</si>
  <si>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</si>
  <si>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</si>
  <si>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</si>
  <si>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</si>
  <si>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</si>
  <si>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</si>
  <si>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</si>
  <si>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</si>
  <si>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</si>
  <si>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</si>
  <si>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</si>
  <si>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</si>
  <si>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</si>
  <si>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</si>
  <si>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</si>
  <si>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</si>
  <si>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</si>
  <si>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</si>
  <si>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</si>
  <si>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</si>
  <si>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</si>
  <si>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</si>
  <si>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</si>
  <si>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</si>
  <si>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</si>
  <si>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</si>
  <si>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</si>
  <si>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</si>
  <si>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</si>
  <si>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</si>
  <si>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</si>
  <si>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</si>
  <si>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</si>
  <si>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</si>
  <si>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</si>
  <si>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</si>
  <si>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</si>
  <si>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</si>
  <si>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</si>
  <si>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</si>
  <si>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</si>
  <si>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</si>
  <si>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</si>
  <si>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</si>
  <si>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</si>
  <si>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</si>
  <si>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</si>
  <si>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</si>
  <si>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</si>
  <si>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</si>
  <si>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</si>
  <si>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</si>
  <si>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</si>
  <si>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</si>
  <si>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</si>
  <si>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</si>
  <si>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</si>
  <si>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</si>
  <si>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</si>
  <si>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</si>
  <si>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</si>
  <si>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</si>
  <si>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</si>
  <si>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</si>
  <si>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</si>
  <si>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</si>
  <si>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</si>
  <si>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</si>
  <si>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</si>
  <si>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</si>
  <si>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</si>
  <si>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</si>
  <si>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</si>
  <si>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</si>
  <si>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</si>
  <si>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</si>
  <si>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</si>
  <si>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</si>
  <si>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</si>
  <si>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</si>
  <si>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</si>
  <si>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</si>
  <si>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</si>
  <si>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</si>
  <si>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</si>
  <si>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</si>
  <si>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</si>
  <si>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</si>
  <si>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</si>
  <si>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</si>
  <si>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</si>
  <si>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</si>
  <si>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</si>
  <si>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</si>
  <si>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</si>
  <si>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</si>
  <si>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</si>
  <si>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</si>
  <si>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</si>
  <si>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</si>
  <si>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</si>
  <si>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</si>
  <si>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</si>
  <si>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</si>
  <si>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</si>
  <si>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</si>
  <si>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</si>
  <si>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</si>
  <si>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</si>
  <si>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</si>
  <si>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</si>
  <si>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</si>
  <si>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</si>
  <si>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</si>
  <si>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</si>
  <si>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</si>
  <si>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</si>
  <si>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</si>
  <si>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</si>
  <si>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</si>
  <si>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</si>
  <si>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</si>
  <si>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</si>
  <si>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</si>
  <si>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</si>
  <si>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</si>
  <si>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</si>
  <si>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</si>
  <si>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</si>
  <si>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</si>
  <si>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</si>
  <si>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</si>
  <si>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</si>
  <si>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</si>
  <si>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</si>
  <si>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</si>
  <si>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</si>
  <si>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</si>
  <si>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</si>
  <si>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</si>
  <si>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</si>
  <si>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</si>
  <si>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</si>
  <si>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</si>
  <si>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</si>
  <si>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</si>
  <si>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</si>
  <si>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</si>
  <si>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</si>
  <si>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</si>
  <si>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</si>
  <si>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</si>
  <si>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</si>
  <si>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</si>
  <si>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</si>
  <si>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</si>
  <si>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</si>
  <si>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</si>
  <si>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</si>
  <si>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</si>
  <si>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</si>
  <si>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</si>
  <si>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</si>
  <si>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</si>
  <si>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</si>
  <si>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</si>
  <si>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</si>
  <si>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</si>
  <si>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</si>
  <si>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</si>
  <si>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</si>
  <si>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</si>
  <si>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</si>
  <si>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</si>
  <si>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</si>
  <si>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</si>
  <si>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</si>
  <si>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</si>
  <si>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</si>
  <si>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</si>
  <si>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</si>
  <si>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</si>
  <si>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</si>
  <si>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</si>
  <si>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</si>
  <si>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</si>
  <si>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</si>
  <si>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</si>
  <si>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</si>
  <si>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</si>
  <si>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</si>
  <si>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</si>
  <si>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</si>
  <si>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</si>
  <si>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</si>
  <si>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</si>
  <si>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</si>
  <si>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</si>
  <si>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</si>
  <si>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</si>
  <si>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</si>
  <si>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</si>
  <si>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</si>
  <si>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</si>
  <si>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</si>
  <si>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</si>
  <si>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</si>
  <si>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</si>
  <si>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</si>
  <si>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</si>
  <si>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</si>
  <si>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</si>
  <si>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</si>
  <si>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</si>
  <si>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</si>
  <si>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</si>
  <si>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</si>
  <si>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</si>
  <si>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</si>
  <si>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</si>
  <si>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</si>
  <si>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</si>
  <si>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</si>
  <si>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</si>
  <si>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</si>
  <si>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</si>
  <si>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</si>
  <si>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</si>
  <si>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</si>
  <si>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</si>
  <si>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</si>
  <si>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</si>
  <si>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</si>
  <si>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</si>
  <si>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</si>
  <si>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</si>
  <si>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</si>
  <si>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</si>
  <si>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</si>
  <si>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</si>
  <si>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</si>
  <si>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</si>
  <si>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</si>
  <si>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</si>
  <si>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</si>
  <si>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</si>
  <si>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</si>
  <si>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</si>
  <si>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</si>
  <si>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</si>
  <si>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</si>
  <si>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</si>
  <si>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</si>
  <si>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</si>
  <si>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</si>
  <si>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</si>
  <si>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</si>
  <si>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</si>
  <si>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</si>
  <si>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</si>
  <si>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</si>
  <si>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</si>
  <si>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</si>
  <si>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</si>
  <si>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</si>
  <si>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</si>
  <si>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</si>
  <si>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</si>
  <si>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</si>
  <si>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</si>
  <si>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</si>
  <si>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</si>
  <si>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</si>
  <si>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</si>
  <si>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</si>
  <si>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</si>
  <si>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</si>
  <si>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</si>
  <si>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</si>
  <si>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</si>
  <si>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</si>
  <si>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</si>
  <si>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</si>
  <si>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</si>
  <si>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</si>
  <si>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</si>
  <si>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</si>
  <si>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</si>
  <si>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</si>
  <si>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</si>
  <si>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</si>
  <si>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</si>
  <si>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</si>
  <si>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</si>
  <si>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</si>
  <si>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</si>
  <si>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</si>
  <si>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</si>
  <si>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</si>
  <si>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</si>
  <si>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</si>
  <si>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</si>
  <si>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</si>
  <si>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</si>
  <si>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</si>
  <si>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</si>
  <si>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</si>
  <si>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</si>
  <si>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</si>
  <si>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</si>
  <si>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</si>
  <si>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</si>
  <si>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</si>
  <si>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</si>
  <si>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</si>
  <si>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</si>
  <si>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</si>
  <si>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</si>
  <si>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</si>
  <si>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</si>
  <si>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</si>
  <si>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</si>
  <si>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</si>
  <si>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</si>
  <si>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</si>
  <si>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</si>
  <si>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</si>
  <si>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</si>
  <si>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</si>
  <si>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</si>
  <si>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</si>
  <si>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</si>
  <si>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</si>
  <si>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</si>
  <si>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</si>
  <si>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</si>
  <si>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</si>
  <si>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</si>
  <si>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</si>
  <si>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</si>
  <si>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</si>
  <si>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</si>
  <si>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</si>
  <si>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</si>
  <si>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</si>
  <si>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</si>
  <si>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</si>
  <si>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</si>
  <si>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</si>
  <si>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</si>
  <si>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</si>
  <si>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</si>
  <si>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</si>
  <si>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</si>
  <si>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</si>
  <si>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</si>
  <si>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</si>
  <si>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</si>
  <si>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</si>
  <si>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</si>
  <si>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</si>
  <si>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</si>
  <si>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</si>
  <si>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</si>
  <si>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</si>
  <si>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</si>
  <si>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</si>
  <si>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</si>
  <si>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</si>
  <si>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</si>
  <si>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</si>
  <si>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</si>
  <si>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</si>
  <si>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</si>
  <si>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</si>
  <si>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</si>
  <si>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</si>
  <si>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</si>
  <si>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</si>
  <si>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</si>
  <si>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</si>
  <si>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</si>
  <si>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</si>
  <si>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</si>
  <si>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</si>
  <si>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</si>
  <si>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</si>
  <si>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</si>
  <si>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</si>
  <si>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</si>
  <si>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</si>
  <si>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</si>
  <si>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</si>
  <si>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</si>
  <si>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</si>
  <si>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</si>
  <si>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</si>
  <si>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</si>
  <si>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</si>
  <si>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</si>
  <si>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</si>
  <si>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</si>
  <si>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</si>
  <si>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</si>
  <si>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</si>
  <si>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</si>
  <si>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</si>
  <si>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</si>
  <si>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</si>
  <si>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</si>
  <si>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</si>
  <si>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</si>
  <si>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</si>
  <si>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</si>
  <si>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</si>
  <si>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</si>
  <si>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</si>
  <si>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</si>
  <si>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</si>
  <si>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</si>
  <si>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</si>
  <si>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</si>
  <si>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</si>
  <si>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</si>
  <si>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</si>
  <si>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</si>
  <si>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</si>
  <si>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</si>
  <si>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</si>
  <si>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</si>
  <si>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</si>
  <si>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</si>
  <si>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</si>
  <si>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</si>
  <si>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</si>
  <si>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</si>
  <si>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</si>
  <si>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</si>
  <si>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</si>
  <si>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</si>
  <si>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</si>
  <si>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</si>
  <si>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</si>
  <si>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</si>
  <si>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</si>
  <si>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</si>
  <si>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</si>
  <si>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</si>
  <si>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</si>
  <si>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</si>
  <si>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</si>
  <si>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</si>
  <si>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</si>
  <si>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</si>
  <si>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</si>
  <si>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</si>
  <si>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</si>
  <si>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</si>
  <si>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</si>
  <si>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</si>
  <si>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</si>
  <si>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</si>
  <si>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</si>
  <si>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</si>
  <si>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</si>
  <si>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</si>
  <si>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</si>
  <si>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</si>
  <si>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</si>
  <si>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</si>
  <si>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</si>
  <si>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</si>
  <si>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</si>
  <si>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</si>
  <si>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</si>
  <si>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</si>
  <si>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</si>
  <si>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</si>
  <si>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</si>
  <si>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</si>
  <si>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</si>
  <si>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</si>
  <si>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</si>
  <si>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</si>
  <si>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</si>
  <si>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</si>
  <si>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</si>
  <si>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</si>
  <si>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</si>
  <si>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</si>
  <si>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</si>
  <si>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</si>
  <si>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</si>
  <si>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</si>
  <si>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</si>
  <si>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</si>
  <si>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</si>
  <si>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</si>
  <si>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</si>
  <si>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</si>
  <si>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</si>
  <si>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</si>
  <si>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</si>
  <si>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</si>
  <si>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</si>
  <si>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</si>
  <si>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</si>
  <si>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</si>
  <si>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</si>
  <si>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</si>
  <si>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</si>
  <si>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</si>
  <si>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</si>
  <si>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</si>
  <si>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</si>
  <si>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</si>
  <si>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</si>
  <si>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</si>
  <si>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</si>
  <si>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</si>
  <si>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</si>
  <si>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</si>
  <si>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</si>
  <si>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</si>
  <si>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</si>
  <si>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</si>
  <si>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</si>
  <si>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</si>
  <si>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</si>
  <si>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</si>
  <si>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</si>
  <si>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</si>
  <si>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</si>
  <si>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</si>
  <si>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</si>
  <si>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</si>
  <si>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</si>
  <si>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</si>
  <si>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</si>
  <si>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</si>
  <si>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</si>
  <si>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</si>
  <si>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</si>
  <si>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</si>
  <si>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</si>
  <si>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</si>
  <si>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</si>
  <si>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</si>
  <si>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</si>
  <si>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</si>
  <si>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</si>
  <si>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</si>
  <si>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</si>
  <si>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</si>
  <si>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</si>
  <si>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</si>
  <si>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</si>
  <si>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</si>
  <si>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</si>
  <si>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</si>
  <si>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</si>
  <si>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</si>
  <si>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</si>
  <si>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</si>
  <si>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</si>
  <si>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</si>
  <si>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</si>
  <si>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</si>
  <si>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</si>
  <si>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</si>
  <si>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</si>
  <si>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</si>
  <si>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</si>
  <si>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</si>
  <si>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</si>
  <si>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</si>
  <si>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</si>
  <si>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</si>
  <si>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</si>
  <si>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</si>
  <si>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</si>
  <si>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</si>
  <si>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</si>
  <si>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</si>
  <si>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</si>
  <si>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</si>
  <si>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</si>
  <si>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</si>
  <si>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</si>
  <si>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</si>
  <si>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</si>
  <si>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</si>
  <si>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</si>
  <si>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</si>
  <si>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</si>
  <si>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</si>
  <si>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</si>
  <si>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</si>
  <si>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</si>
  <si>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</si>
  <si>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</si>
  <si>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</si>
  <si>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</si>
  <si>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</si>
  <si>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</si>
  <si>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</si>
  <si>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</si>
  <si>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</si>
  <si>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</si>
  <si>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</si>
  <si>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</si>
  <si>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</si>
  <si>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</si>
  <si>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</si>
  <si>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</si>
  <si>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</si>
  <si>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</si>
  <si>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</si>
  <si>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</si>
  <si>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</si>
  <si>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</si>
  <si>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</si>
  <si>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</si>
  <si>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</si>
  <si>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</si>
  <si>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</si>
  <si>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</si>
  <si>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</si>
  <si>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</si>
  <si>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</si>
  <si>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</si>
  <si>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</si>
  <si>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</si>
  <si>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</si>
  <si>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</si>
  <si>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</si>
  <si>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</si>
  <si>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</si>
  <si>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</si>
  <si>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</si>
  <si>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</si>
  <si>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</si>
  <si>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</si>
  <si>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</si>
  <si>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</si>
  <si>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</si>
  <si>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</si>
  <si>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</si>
  <si>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</si>
  <si>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</si>
  <si>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</si>
  <si>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</si>
  <si>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</si>
  <si>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</si>
  <si>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</si>
  <si>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</si>
  <si>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</si>
  <si>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</si>
  <si>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</si>
  <si>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</si>
  <si>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</si>
  <si>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</si>
  <si>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</si>
  <si>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</si>
  <si>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</si>
  <si>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</si>
  <si>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</si>
  <si>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</si>
  <si>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</si>
  <si>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</si>
  <si>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</si>
  <si>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</si>
  <si>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</si>
  <si>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</si>
  <si>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</si>
  <si>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</si>
  <si>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</si>
  <si>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</si>
  <si>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</si>
  <si>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</si>
  <si>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</si>
  <si>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</si>
  <si>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</si>
  <si>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</si>
  <si>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</si>
  <si>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</si>
  <si>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</si>
  <si>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</si>
  <si>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</si>
  <si>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</si>
  <si>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</si>
  <si>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</si>
  <si>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</si>
  <si>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</si>
  <si>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</si>
  <si>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</si>
  <si>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</si>
  <si>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</si>
  <si>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</si>
  <si>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</si>
  <si>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</si>
  <si>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</si>
  <si>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</si>
  <si>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</si>
  <si>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</si>
  <si>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</si>
  <si>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</si>
  <si>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</si>
  <si>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</si>
  <si>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</si>
  <si>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</si>
  <si>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</si>
  <si>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</si>
  <si>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</si>
  <si>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</si>
  <si>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</si>
  <si>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</si>
  <si>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</si>
  <si>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</si>
  <si>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</si>
  <si>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</si>
  <si>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</si>
  <si>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</si>
  <si>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</si>
  <si>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</si>
  <si>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</si>
  <si>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</si>
  <si>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</si>
  <si>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</si>
  <si>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</si>
  <si>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</si>
  <si>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</si>
  <si>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</si>
  <si>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</si>
  <si>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</si>
  <si>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</si>
  <si>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</si>
  <si>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</si>
  <si>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</si>
  <si>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</si>
  <si>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</si>
  <si>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</si>
  <si>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</si>
  <si>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</si>
  <si>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</si>
  <si>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</si>
  <si>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</si>
  <si>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</si>
  <si>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</si>
  <si>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</si>
  <si>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</si>
  <si>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</si>
  <si>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</si>
  <si>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</si>
  <si>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</si>
  <si>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</si>
  <si>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</si>
  <si>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</si>
  <si>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</si>
  <si>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</si>
  <si>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</si>
  <si>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</si>
  <si>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</si>
  <si>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</si>
  <si>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</si>
  <si>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</si>
  <si>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</si>
  <si>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</si>
  <si>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</si>
  <si>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</si>
  <si>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</si>
  <si>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</si>
  <si>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</si>
  <si>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</si>
  <si>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</si>
  <si>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</si>
  <si>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</si>
  <si>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</si>
  <si>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</si>
  <si>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</si>
  <si>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</si>
  <si>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</si>
  <si>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</si>
  <si>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</si>
  <si>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</si>
  <si>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</si>
  <si>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</si>
  <si>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</si>
  <si>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</si>
  <si>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</si>
  <si>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</si>
  <si>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</si>
  <si>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</si>
  <si>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</si>
  <si>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</si>
  <si>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</si>
  <si>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</si>
  <si>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</si>
  <si>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</si>
  <si>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</si>
  <si>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</si>
  <si>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</si>
  <si>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</si>
  <si>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</si>
  <si>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</si>
  <si>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</si>
  <si>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</si>
  <si>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</si>
  <si>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</si>
  <si>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</si>
  <si>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</si>
  <si>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</si>
  <si>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</si>
  <si>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</si>
  <si>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</si>
  <si>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</si>
  <si>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</si>
  <si>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</si>
  <si>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</si>
  <si>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</si>
  <si>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</si>
  <si>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</si>
  <si>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</si>
  <si>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</si>
  <si>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</si>
  <si>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</si>
  <si>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</si>
  <si>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</si>
  <si>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</si>
  <si>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</si>
  <si>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</si>
  <si>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</si>
  <si>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</si>
  <si>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</si>
  <si>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</si>
  <si>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</si>
  <si>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</si>
  <si>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</si>
  <si>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</si>
  <si>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</si>
  <si>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</si>
  <si>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</si>
  <si>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</si>
  <si>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</si>
  <si>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</si>
  <si>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</si>
  <si>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</si>
  <si>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</si>
  <si>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</si>
  <si>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</si>
  <si>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</si>
  <si>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</si>
  <si>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</si>
  <si>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</si>
  <si>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</si>
  <si>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</si>
  <si>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</si>
  <si>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</si>
  <si>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</si>
  <si>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</si>
  <si>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</si>
  <si>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</si>
  <si>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</si>
  <si>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</si>
  <si>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</si>
  <si>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</si>
  <si>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</si>
  <si>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</si>
  <si>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</si>
  <si>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</si>
  <si>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</si>
  <si>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</si>
  <si>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</si>
  <si>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</si>
  <si>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</si>
  <si>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</si>
  <si>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</si>
  <si>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</si>
  <si>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</si>
  <si>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</si>
  <si>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</si>
  <si>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</si>
  <si>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</si>
  <si>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</si>
  <si>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</si>
  <si>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</si>
  <si>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</si>
  <si>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</si>
  <si>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</si>
  <si>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</si>
  <si>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</si>
  <si>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</si>
  <si>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</si>
  <si>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</si>
  <si>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</si>
  <si>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</si>
  <si>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</si>
  <si>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</si>
  <si>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</si>
  <si>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</si>
  <si>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</si>
  <si>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</si>
  <si>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</si>
  <si>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</si>
  <si>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</si>
  <si>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</si>
  <si>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</si>
  <si>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</si>
  <si>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</si>
  <si>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</si>
  <si>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</si>
  <si>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</si>
  <si>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</si>
  <si>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</si>
  <si>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</si>
  <si>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</si>
  <si>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</si>
  <si>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</si>
  <si>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</si>
  <si>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</si>
  <si>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</si>
  <si>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</si>
  <si>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</si>
  <si>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</si>
  <si>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</si>
  <si>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</si>
  <si>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</si>
  <si>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</si>
  <si>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</si>
  <si>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</si>
  <si>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</si>
  <si>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</si>
  <si>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</si>
  <si>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</si>
  <si>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</si>
  <si>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</si>
  <si>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</si>
  <si>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</si>
  <si>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</si>
  <si>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</si>
  <si>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</si>
  <si>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</si>
  <si>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</si>
  <si>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</si>
  <si>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</si>
  <si>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</si>
  <si>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</si>
  <si>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</si>
  <si>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</si>
  <si>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</si>
  <si>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</si>
  <si>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</si>
  <si>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</si>
  <si>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</si>
  <si>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</si>
  <si>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</si>
  <si>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</si>
  <si>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</si>
  <si>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</si>
  <si>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</si>
  <si>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</si>
  <si>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</si>
  <si>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</si>
  <si>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</si>
  <si>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</si>
  <si>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</si>
  <si>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</si>
  <si>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</si>
  <si>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</si>
  <si>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</si>
  <si>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</si>
  <si>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</si>
  <si>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</si>
  <si>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</si>
  <si>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</si>
  <si>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</si>
  <si>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</si>
  <si>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</si>
  <si>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</si>
  <si>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</si>
  <si>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</si>
  <si>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</si>
  <si>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</si>
  <si>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</si>
  <si>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</si>
  <si>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</si>
  <si>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</si>
  <si>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</si>
  <si>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</si>
  <si>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</si>
  <si>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</si>
  <si>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</si>
  <si>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</si>
  <si>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</si>
  <si>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</si>
  <si>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</si>
  <si>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</si>
  <si>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</si>
  <si>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</si>
  <si>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</si>
  <si>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</si>
  <si>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</si>
  <si>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</si>
  <si>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</si>
  <si>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</si>
  <si>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</si>
  <si>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</si>
  <si>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</si>
  <si>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</si>
  <si>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</si>
  <si>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</si>
  <si>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</si>
  <si>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</si>
  <si>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</si>
  <si>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</si>
  <si>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</si>
  <si>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</si>
  <si>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</si>
  <si>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</si>
  <si>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</si>
  <si>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</si>
  <si>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</si>
  <si>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</si>
  <si>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</si>
  <si>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</si>
  <si>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</si>
  <si>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</si>
  <si>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</si>
  <si>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</si>
  <si>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</si>
  <si>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</si>
  <si>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</si>
  <si>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</si>
  <si>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</si>
  <si>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</si>
  <si>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</si>
  <si>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</si>
  <si>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</si>
  <si>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</si>
  <si>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</si>
  <si>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</si>
  <si>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</si>
  <si>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</si>
  <si>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</si>
  <si>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</si>
  <si>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</si>
  <si>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</si>
  <si>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</si>
  <si>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</si>
  <si>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</si>
  <si>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</si>
  <si>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</si>
  <si>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</si>
  <si>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</si>
  <si>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</si>
  <si>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</si>
  <si>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</si>
  <si>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</si>
  <si>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</si>
  <si>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</si>
  <si>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</si>
  <si>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</si>
  <si>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</si>
  <si>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</si>
  <si>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</si>
  <si>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</si>
  <si>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</si>
  <si>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</si>
  <si>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</si>
  <si>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</si>
  <si>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</si>
  <si>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</si>
  <si>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</si>
  <si>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</si>
  <si>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</si>
  <si>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</si>
  <si>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</si>
  <si>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</si>
  <si>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</si>
  <si>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</si>
  <si>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</si>
  <si>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</si>
  <si>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</si>
  <si>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</si>
  <si>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</si>
  <si>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</si>
  <si>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</si>
  <si>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</si>
  <si>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</si>
  <si>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</si>
  <si>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</si>
  <si>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</si>
  <si>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</si>
  <si>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</si>
  <si>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</si>
  <si>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</si>
  <si>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</si>
  <si>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</si>
  <si>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</si>
  <si>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</si>
  <si>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</si>
  <si>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</si>
  <si>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</si>
  <si>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</si>
  <si>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</si>
  <si>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</si>
  <si>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</si>
  <si>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</si>
  <si>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</si>
  <si>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</si>
  <si>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</si>
  <si>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</si>
  <si>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</si>
  <si>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</si>
  <si>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</si>
  <si>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</si>
  <si>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</si>
  <si>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</si>
  <si>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</si>
  <si>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</si>
  <si>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</si>
  <si>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</si>
  <si>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</si>
  <si>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</si>
  <si>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</si>
  <si>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</si>
  <si>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</si>
  <si>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</si>
  <si>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</si>
  <si>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</si>
  <si>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</si>
  <si>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</si>
  <si>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</si>
  <si>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</si>
  <si>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</si>
  <si>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</si>
  <si>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</si>
  <si>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</si>
  <si>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</si>
  <si>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</si>
  <si>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</si>
  <si>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</si>
  <si>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</si>
  <si>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</si>
  <si>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</si>
  <si>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</si>
  <si>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</si>
  <si>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</si>
  <si>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</si>
  <si>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</si>
  <si>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</si>
  <si>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</si>
  <si>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</si>
  <si>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</si>
  <si>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</si>
  <si>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</si>
  <si>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</si>
  <si>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</si>
  <si>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</si>
  <si>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</si>
  <si>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</si>
  <si>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</si>
  <si>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</si>
  <si>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</si>
  <si>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</si>
  <si>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</si>
  <si>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</si>
  <si>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</si>
  <si>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</si>
  <si>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</si>
  <si>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</si>
  <si>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</si>
  <si>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</si>
  <si>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</si>
  <si>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</si>
  <si>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</si>
  <si>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</si>
  <si>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</si>
  <si>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</si>
  <si>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</si>
  <si>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</si>
  <si>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</si>
  <si>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</si>
  <si>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</si>
  <si>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</si>
  <si>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</si>
  <si>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</si>
  <si>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</si>
  <si>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</si>
  <si>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</si>
  <si>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</si>
  <si>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</si>
  <si>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</si>
  <si>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</si>
  <si>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</si>
  <si>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</si>
  <si>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</si>
  <si>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</si>
  <si>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</si>
  <si>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</si>
  <si>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</si>
  <si>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</si>
  <si>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</si>
  <si>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</si>
  <si>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</si>
  <si>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</si>
  <si>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</si>
  <si>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</si>
  <si>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</si>
  <si>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</si>
  <si>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</si>
  <si>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</si>
  <si>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</si>
  <si>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</si>
  <si>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</si>
  <si>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</si>
  <si>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</si>
  <si>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</si>
  <si>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</si>
  <si>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</si>
  <si>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</si>
  <si>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</si>
  <si>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</si>
  <si>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</si>
  <si>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</si>
  <si>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</si>
  <si>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</si>
  <si>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</si>
  <si>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</si>
  <si>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</si>
  <si>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</si>
  <si>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</si>
  <si>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</si>
  <si>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</si>
  <si>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</si>
  <si>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</si>
  <si>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</si>
  <si>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</si>
  <si>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</si>
  <si>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</si>
  <si>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</si>
  <si>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</si>
  <si>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</si>
  <si>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</si>
  <si>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</si>
  <si>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</si>
  <si>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</si>
  <si>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</si>
  <si>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</si>
  <si>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</si>
  <si>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</si>
  <si>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</si>
  <si>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</si>
  <si>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</si>
  <si>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</si>
  <si>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</si>
  <si>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</si>
  <si>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</si>
  <si>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</si>
  <si>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</si>
  <si>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</si>
  <si>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</si>
  <si>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</si>
  <si>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</si>
  <si>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</si>
  <si>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</si>
  <si>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</si>
  <si>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</si>
  <si>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</si>
  <si>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</si>
  <si>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</si>
  <si>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</si>
  <si>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</si>
  <si>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</si>
  <si>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</si>
  <si>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</si>
  <si>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</si>
  <si>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</si>
  <si>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</si>
  <si>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</si>
  <si>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</si>
  <si>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</si>
  <si>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</si>
  <si>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</si>
  <si>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</si>
  <si>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</si>
  <si>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</si>
  <si>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</si>
  <si>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</si>
  <si>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</si>
  <si>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</si>
  <si>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</si>
  <si>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</si>
  <si>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</si>
  <si>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</si>
  <si>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</si>
  <si>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</si>
  <si>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</si>
  <si>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</si>
  <si>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</si>
  <si>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</si>
  <si>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</si>
  <si>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</si>
  <si>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</si>
  <si>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</si>
  <si>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</si>
  <si>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</si>
  <si>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</si>
  <si>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</si>
  <si>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</si>
  <si>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</si>
  <si>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</si>
  <si>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</si>
  <si>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</si>
  <si>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</si>
  <si>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</si>
  <si>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</si>
  <si>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</si>
  <si>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</si>
  <si>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</si>
  <si>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</si>
  <si>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</si>
  <si>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</si>
  <si>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</si>
  <si>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</si>
  <si>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</si>
  <si>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</si>
  <si>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</si>
  <si>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</si>
  <si>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</si>
  <si>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</si>
  <si>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</si>
  <si>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</si>
  <si>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</si>
  <si>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</si>
  <si>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</si>
  <si>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</si>
  <si>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</si>
  <si>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</si>
  <si>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</si>
  <si>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</si>
  <si>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</si>
  <si>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</si>
  <si>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</si>
  <si>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</si>
  <si>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</si>
  <si>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</si>
  <si>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</si>
  <si>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</si>
  <si>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</si>
  <si>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</si>
  <si>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</si>
  <si>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</si>
  <si>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</si>
  <si>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</si>
  <si>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</si>
  <si>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</si>
  <si>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</si>
  <si>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</si>
  <si>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</si>
  <si>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</si>
  <si>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</si>
  <si>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</si>
  <si>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</si>
  <si>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</si>
  <si>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</si>
  <si>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</si>
  <si>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</si>
  <si>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</si>
  <si>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</si>
  <si>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</si>
  <si>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</si>
  <si>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</si>
  <si>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</si>
  <si>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</si>
  <si>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</si>
  <si>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</si>
  <si>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</si>
  <si>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</si>
  <si>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</si>
  <si>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</si>
  <si>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</si>
  <si>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</si>
  <si>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</si>
  <si>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</si>
  <si>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</si>
  <si>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</si>
  <si>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</si>
  <si>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</si>
  <si>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</si>
  <si>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</si>
  <si>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</si>
  <si>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</si>
  <si>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</si>
  <si>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</si>
  <si>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</si>
  <si>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</si>
  <si>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</si>
  <si>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</si>
  <si>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</si>
  <si>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</si>
  <si>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</si>
  <si>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</si>
  <si>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</si>
  <si>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</si>
  <si>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</si>
  <si>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</si>
  <si>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</si>
  <si>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</si>
  <si>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</si>
  <si>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</si>
  <si>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</si>
  <si>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</si>
  <si>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</si>
  <si>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</si>
  <si>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</si>
  <si>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</si>
  <si>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</si>
  <si>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</si>
  <si>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</si>
  <si>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</si>
  <si>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</si>
  <si>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</si>
  <si>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</si>
  <si>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</si>
  <si>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</si>
  <si>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</si>
  <si>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</si>
  <si>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</si>
  <si>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</si>
  <si>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</si>
  <si>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</si>
  <si>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</si>
  <si>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</si>
  <si>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</si>
  <si>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</si>
  <si>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</si>
  <si>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</si>
  <si>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</si>
  <si>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</si>
  <si>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</si>
  <si>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</si>
  <si>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</si>
  <si>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</si>
  <si>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</si>
  <si>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</si>
  <si>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</si>
  <si>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</si>
  <si>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</si>
  <si>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</si>
  <si>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</si>
  <si>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</si>
  <si>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</si>
  <si>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</si>
  <si>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</si>
  <si>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</si>
  <si>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</si>
  <si>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</si>
  <si>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</si>
  <si>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</si>
  <si>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</si>
  <si>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</si>
  <si>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</si>
  <si>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</si>
  <si>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</si>
  <si>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</si>
  <si>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</si>
  <si>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</si>
  <si>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</si>
  <si>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</si>
  <si>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</si>
  <si>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</si>
  <si>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</si>
  <si>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</si>
  <si>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</si>
  <si>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</si>
  <si>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</si>
  <si>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</si>
  <si>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</si>
  <si>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</si>
  <si>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</si>
  <si>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</si>
  <si>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</si>
  <si>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</si>
  <si>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</si>
  <si>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</si>
  <si>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</si>
  <si>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</si>
  <si>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</si>
  <si>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</si>
  <si>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</si>
  <si>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</si>
  <si>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</si>
  <si>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</si>
  <si>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</si>
  <si>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</si>
  <si>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</si>
  <si>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</si>
  <si>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</si>
  <si>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</si>
  <si>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</si>
  <si>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</si>
  <si>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</si>
  <si>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</si>
  <si>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</si>
  <si>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</si>
  <si>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</si>
  <si>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</si>
  <si>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</si>
  <si>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</si>
  <si>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</si>
  <si>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</si>
  <si>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</si>
  <si>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</si>
  <si>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</si>
  <si>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</si>
  <si>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</si>
  <si>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</si>
  <si>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</si>
  <si>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</si>
  <si>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</si>
  <si>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</si>
  <si>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</si>
  <si>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</si>
  <si>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</si>
  <si>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</si>
  <si>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</si>
  <si>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</si>
  <si>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</si>
  <si>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</si>
  <si>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</si>
  <si>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</si>
  <si>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</si>
  <si>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</si>
  <si>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</si>
  <si>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</si>
  <si>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</si>
  <si>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</si>
  <si>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</si>
  <si>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</si>
  <si>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</si>
  <si>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</si>
  <si>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</si>
  <si>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</si>
  <si>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</si>
  <si>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</si>
  <si>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</si>
  <si>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</si>
  <si>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</si>
  <si>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</si>
  <si>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</si>
  <si>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</si>
  <si>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</si>
  <si>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</si>
  <si>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</si>
  <si>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</si>
  <si>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</si>
  <si>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</si>
  <si>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</si>
  <si>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</si>
  <si>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</si>
  <si>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</si>
  <si>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</si>
  <si>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</si>
  <si>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</si>
  <si>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</si>
  <si>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</si>
  <si>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</si>
  <si>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</si>
  <si>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</si>
  <si>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</si>
  <si>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</si>
  <si>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</si>
  <si>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</si>
  <si>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</si>
  <si>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</si>
  <si>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</si>
  <si>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</si>
  <si>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</si>
  <si>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</si>
  <si>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</si>
  <si>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</si>
  <si>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</si>
  <si>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</si>
  <si>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</si>
  <si>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</si>
  <si>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</si>
  <si>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</si>
  <si>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</si>
  <si>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</si>
  <si>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</si>
  <si>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</si>
  <si>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</si>
  <si>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</si>
  <si>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</si>
  <si>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</si>
  <si>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</si>
  <si>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</si>
  <si>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</si>
  <si>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</si>
  <si>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</si>
  <si>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</si>
  <si>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</si>
  <si>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</si>
  <si>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</si>
  <si>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</si>
  <si>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</si>
  <si>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</si>
  <si>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</si>
  <si>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</si>
  <si>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</si>
  <si>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</si>
  <si>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</si>
  <si>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</si>
  <si>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</si>
  <si>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</si>
  <si>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</si>
  <si>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</si>
  <si>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</si>
  <si>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</si>
  <si>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</si>
  <si>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</si>
  <si>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</si>
  <si>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</si>
  <si>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</si>
  <si>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</si>
  <si>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</si>
  <si>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</si>
  <si>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</si>
  <si>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</si>
  <si>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</si>
  <si>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</si>
  <si>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</si>
  <si>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</si>
  <si>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</si>
  <si>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</si>
  <si>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</si>
  <si>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</si>
  <si>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</si>
  <si>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</si>
  <si>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</si>
  <si>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</si>
  <si>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</si>
  <si>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</si>
  <si>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</si>
  <si>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</si>
  <si>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</si>
  <si>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</si>
  <si>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</si>
  <si>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</si>
  <si>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</si>
  <si>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</si>
  <si>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</si>
  <si>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</si>
  <si>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</si>
  <si>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</si>
  <si>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</si>
  <si>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</si>
  <si>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</si>
  <si>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</si>
  <si>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</si>
  <si>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</si>
  <si>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</si>
  <si>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</si>
  <si>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</si>
  <si>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</si>
  <si>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</si>
  <si>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</si>
  <si>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</si>
  <si>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</si>
  <si>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</si>
  <si>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</si>
  <si>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</si>
  <si>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</si>
  <si>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</si>
  <si>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</si>
  <si>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</si>
  <si>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</si>
  <si>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</si>
  <si>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</si>
  <si>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</si>
  <si>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</si>
  <si>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</si>
  <si>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</si>
  <si>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</si>
  <si>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</si>
  <si>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</si>
  <si>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</si>
  <si>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</si>
  <si>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</si>
  <si>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</si>
  <si>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</si>
  <si>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</si>
  <si>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</si>
  <si>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</si>
  <si>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</si>
  <si>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</si>
  <si>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</si>
  <si>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</si>
  <si>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</si>
  <si>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</si>
  <si>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</si>
  <si>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</si>
  <si>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</si>
  <si>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</si>
  <si>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</si>
  <si>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</si>
  <si>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</si>
  <si>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</si>
  <si>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</si>
  <si>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</si>
  <si>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</si>
  <si>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</si>
  <si>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</si>
  <si>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</si>
  <si>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</si>
  <si>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</si>
  <si>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</si>
  <si>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</si>
  <si>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</si>
  <si>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</si>
  <si>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</si>
  <si>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</si>
  <si>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</si>
  <si>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</si>
  <si>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</si>
  <si>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</si>
  <si>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</si>
  <si>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</si>
  <si>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</si>
  <si>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</si>
  <si>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</si>
  <si>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</si>
  <si>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</si>
  <si>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</si>
  <si>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</si>
  <si>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</si>
  <si>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</si>
  <si>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</si>
  <si>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</si>
  <si>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</si>
  <si>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</si>
  <si>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</si>
  <si>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</si>
  <si>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</si>
  <si>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</si>
  <si>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</si>
  <si>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</si>
  <si>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</si>
  <si>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</si>
  <si>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</si>
  <si>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</si>
  <si>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</si>
  <si>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</si>
  <si>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</si>
  <si>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</si>
  <si>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</si>
  <si>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</si>
  <si>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</si>
  <si>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</si>
  <si>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</si>
  <si>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</si>
  <si>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</si>
  <si>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</si>
  <si>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</si>
  <si>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</si>
  <si>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</si>
  <si>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</si>
  <si>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</si>
  <si>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</si>
  <si>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</si>
  <si>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</si>
  <si>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</si>
  <si>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</si>
  <si>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</si>
  <si>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</si>
  <si>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</si>
  <si>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</si>
  <si>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</si>
  <si>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</si>
  <si>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</si>
  <si>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</si>
  <si>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</si>
  <si>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</si>
  <si>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</si>
  <si>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</si>
  <si>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</si>
  <si>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</si>
  <si>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</si>
  <si>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</si>
  <si>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</si>
  <si>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</si>
  <si>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</si>
  <si>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</si>
  <si>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</si>
  <si>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</si>
  <si>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</si>
  <si>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</si>
  <si>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</si>
  <si>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</si>
  <si>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</si>
  <si>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</si>
  <si>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</si>
  <si>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</si>
  <si>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</si>
  <si>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</si>
  <si>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</si>
  <si>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</si>
  <si>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</si>
  <si>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</si>
  <si>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</si>
  <si>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</si>
  <si>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</si>
  <si>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</si>
  <si>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</si>
  <si>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</si>
  <si>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</si>
  <si>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</si>
  <si>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</si>
  <si>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</si>
  <si>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</si>
  <si>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</si>
  <si>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</si>
  <si>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</si>
  <si>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</si>
  <si>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</si>
  <si>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</si>
  <si>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</si>
  <si>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</si>
  <si>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</si>
  <si>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</si>
  <si>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</si>
  <si>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</si>
  <si>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</si>
  <si>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</si>
  <si>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</si>
  <si>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</si>
  <si>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</si>
  <si>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</si>
  <si>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</si>
  <si>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</si>
  <si>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</si>
  <si>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</si>
  <si>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</si>
  <si>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</si>
  <si>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</si>
  <si>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</si>
  <si>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</si>
  <si>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</si>
  <si>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</si>
  <si>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</si>
  <si>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</si>
  <si>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</si>
  <si>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</si>
  <si>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</si>
  <si>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</si>
  <si>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</si>
  <si>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</si>
  <si>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</si>
  <si>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</si>
  <si>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</si>
  <si>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</si>
  <si>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</si>
  <si>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</si>
  <si>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</si>
  <si>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</si>
  <si>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</si>
  <si>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</si>
  <si>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</si>
  <si>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</si>
  <si>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</si>
  <si>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</si>
  <si>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</si>
  <si>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</si>
  <si>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</si>
  <si>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</si>
  <si>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</si>
  <si>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</si>
  <si>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</si>
  <si>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</si>
  <si>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</si>
  <si>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</si>
  <si>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</si>
  <si>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</si>
  <si>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</si>
  <si>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</si>
  <si>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</si>
  <si>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</si>
  <si>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</si>
  <si>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</si>
  <si>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</si>
  <si>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</si>
  <si>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</si>
  <si>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</si>
  <si>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</si>
  <si>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</si>
  <si>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</si>
  <si>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</si>
  <si>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</si>
  <si>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</si>
  <si>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</si>
  <si>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</si>
  <si>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</si>
  <si>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</si>
  <si>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</si>
  <si>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</si>
  <si>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</si>
  <si>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</si>
  <si>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</si>
  <si>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</si>
  <si>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</si>
  <si>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</si>
  <si>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</si>
  <si>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</si>
  <si>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</si>
  <si>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</si>
  <si>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</si>
  <si>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</si>
  <si>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</si>
  <si>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</si>
  <si>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</si>
  <si>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</si>
  <si>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</si>
  <si>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</si>
  <si>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</si>
  <si>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</si>
  <si>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</si>
  <si>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</si>
  <si>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</si>
  <si>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</si>
  <si>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</si>
  <si>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</si>
  <si>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</si>
  <si>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</si>
  <si>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</si>
  <si>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</si>
  <si>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</si>
  <si>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</si>
  <si>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</si>
  <si>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</si>
  <si>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</si>
  <si>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</si>
  <si>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</si>
  <si>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</si>
  <si>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</si>
  <si>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</si>
  <si>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</si>
  <si>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</si>
  <si>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</si>
  <si>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</si>
  <si>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</si>
  <si>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</si>
  <si>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</si>
  <si>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</si>
  <si>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</si>
  <si>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</si>
  <si>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</si>
  <si>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</si>
  <si>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</si>
  <si>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</si>
  <si>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</si>
  <si>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</si>
  <si>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</si>
  <si>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</si>
  <si>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</si>
  <si>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</si>
  <si>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</si>
  <si>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</si>
  <si>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</si>
  <si>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</si>
  <si>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</si>
  <si>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</si>
  <si>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</si>
  <si>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</si>
  <si>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</si>
  <si>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</si>
  <si>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</si>
  <si>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</si>
  <si>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</si>
  <si>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</si>
  <si>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</si>
  <si>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</si>
  <si>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</si>
  <si>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</si>
  <si>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</si>
  <si>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</si>
  <si>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</si>
  <si>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</si>
  <si>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</si>
  <si>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</si>
  <si>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</si>
  <si>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</si>
  <si>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</si>
  <si>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</si>
  <si>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</si>
  <si>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</si>
  <si>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</si>
  <si>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</si>
  <si>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</si>
  <si>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</si>
  <si>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</si>
  <si>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</si>
  <si>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</si>
  <si>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</si>
  <si>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</si>
  <si>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</si>
  <si>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</si>
  <si>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</si>
  <si>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</si>
  <si>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</si>
  <si>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</si>
  <si>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</si>
  <si>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</si>
  <si>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</si>
  <si>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</si>
  <si>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</si>
  <si>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</si>
  <si>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</si>
  <si>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</si>
  <si>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</si>
  <si>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</si>
  <si>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</si>
  <si>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</si>
  <si>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</si>
  <si>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</si>
  <si>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</si>
  <si>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</si>
  <si>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</si>
  <si>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</si>
  <si>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</si>
  <si>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</si>
  <si>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</si>
  <si>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</si>
  <si>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</si>
  <si>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</si>
  <si>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</si>
  <si>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</si>
  <si>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</si>
  <si>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</si>
  <si>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</si>
  <si>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</si>
  <si>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</si>
  <si>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</si>
  <si>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</si>
  <si>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</si>
  <si>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</si>
  <si>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</si>
  <si>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</si>
  <si>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</si>
  <si>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</si>
  <si>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</si>
  <si>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</si>
  <si>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</si>
  <si>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</si>
  <si>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</si>
  <si>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</si>
  <si>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</si>
  <si>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</si>
  <si>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</si>
  <si>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</si>
  <si>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</si>
  <si>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</si>
  <si>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</si>
  <si>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</si>
  <si>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</si>
  <si>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</si>
  <si>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</si>
  <si>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</si>
  <si>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</si>
  <si>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</si>
  <si>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</si>
  <si>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</si>
  <si>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</si>
  <si>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</si>
  <si>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</si>
  <si>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</si>
  <si>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</si>
  <si>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</si>
  <si>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</si>
  <si>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</si>
  <si>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</si>
  <si>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</si>
  <si>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</si>
  <si>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</si>
  <si>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</si>
  <si>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</si>
  <si>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</si>
  <si>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</si>
  <si>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</si>
  <si>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</si>
  <si>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</si>
  <si>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</si>
  <si>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</si>
  <si>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</si>
  <si>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</si>
  <si>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</si>
  <si>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</si>
  <si>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</si>
  <si>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</si>
  <si>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</si>
  <si>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</si>
  <si>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</si>
  <si>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</si>
  <si>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</si>
  <si>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</si>
  <si>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</si>
  <si>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</si>
  <si>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</si>
  <si>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</si>
  <si>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</si>
  <si>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</si>
  <si>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</si>
  <si>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</si>
  <si>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</si>
  <si>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</si>
  <si>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</si>
  <si>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</si>
  <si>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</si>
  <si>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</si>
  <si>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</si>
  <si>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</si>
  <si>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</si>
  <si>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</si>
  <si>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</si>
  <si>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</si>
  <si>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</si>
  <si>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</si>
  <si>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</si>
  <si>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</si>
  <si>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</si>
  <si>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</si>
  <si>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</si>
  <si>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</si>
  <si>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</si>
  <si>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</si>
  <si>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</si>
  <si>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</si>
  <si>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</si>
  <si>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</si>
  <si>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</si>
  <si>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</si>
  <si>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</si>
  <si>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</si>
  <si>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</si>
  <si>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</si>
  <si>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</si>
  <si>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</si>
  <si>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</si>
  <si>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</si>
  <si>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</si>
  <si>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</si>
  <si>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</si>
  <si>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</si>
  <si>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</si>
  <si>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</si>
  <si>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</si>
  <si>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</si>
  <si>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</si>
  <si>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</si>
  <si>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</si>
  <si>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</si>
  <si>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</si>
  <si>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</si>
  <si>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</si>
  <si>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</si>
  <si>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</si>
  <si>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</si>
  <si>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</si>
  <si>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</si>
  <si>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</si>
  <si>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</si>
  <si>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</si>
  <si>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</si>
  <si>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</si>
  <si>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</si>
  <si>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</si>
  <si>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</si>
  <si>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</si>
  <si>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</si>
  <si>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</si>
  <si>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</si>
  <si>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</si>
  <si>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</si>
  <si>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</si>
  <si>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</si>
  <si>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</si>
  <si>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</si>
  <si>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</si>
  <si>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</si>
  <si>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</si>
  <si>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</si>
  <si>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</si>
  <si>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</si>
  <si>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</si>
  <si>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</si>
  <si>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</si>
  <si>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</si>
  <si>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</si>
  <si>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</si>
  <si>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</si>
  <si>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</si>
  <si>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</si>
  <si>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</si>
  <si>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</si>
  <si>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</si>
  <si>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</si>
  <si>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</si>
  <si>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</si>
  <si>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</si>
  <si>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</si>
  <si>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</si>
  <si>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</si>
  <si>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</si>
  <si>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</si>
  <si>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</si>
  <si>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</si>
  <si>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</si>
  <si>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</si>
  <si>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</si>
  <si>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</si>
  <si>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</si>
  <si>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</si>
  <si>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</si>
  <si>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</si>
  <si>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</si>
  <si>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</si>
  <si>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</si>
  <si>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</si>
  <si>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</si>
  <si>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</si>
  <si>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</si>
  <si>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</si>
  <si>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</si>
  <si>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</si>
  <si>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</si>
  <si>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</si>
  <si>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</si>
  <si>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</si>
  <si>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</si>
  <si>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</si>
  <si>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</si>
  <si>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</si>
  <si>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</si>
  <si>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</si>
  <si>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</si>
  <si>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</si>
  <si>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</si>
  <si>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</si>
  <si>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</si>
  <si>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</si>
  <si>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</si>
  <si>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</si>
  <si>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</si>
  <si>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</si>
  <si>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</si>
  <si>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</si>
  <si>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</si>
  <si>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</si>
  <si>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</si>
  <si>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</si>
  <si>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</si>
  <si>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</si>
  <si>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</si>
  <si>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</si>
  <si>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</si>
  <si>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</si>
  <si>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</si>
  <si>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</si>
  <si>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</si>
  <si>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</si>
  <si>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</si>
  <si>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</si>
  <si>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</si>
  <si>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</si>
  <si>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</si>
  <si>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</si>
  <si>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</si>
  <si>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</si>
  <si>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</si>
  <si>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</si>
  <si>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</si>
  <si>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</si>
  <si>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</si>
  <si>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</si>
  <si>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</si>
  <si>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</si>
  <si>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</si>
  <si>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</si>
  <si>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</si>
  <si>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</si>
  <si>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</si>
  <si>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</si>
  <si>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</si>
  <si>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</si>
  <si>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</si>
  <si>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</si>
  <si>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</si>
  <si>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</si>
  <si>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</si>
  <si>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</si>
  <si>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</si>
  <si>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</si>
  <si>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</si>
  <si>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</si>
  <si>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</si>
  <si>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</si>
  <si>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</si>
  <si>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</si>
  <si>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</si>
  <si>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</si>
  <si>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</si>
  <si>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</si>
  <si>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</si>
  <si>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</si>
  <si>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</si>
  <si>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</si>
  <si>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</si>
  <si>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</si>
  <si>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</si>
  <si>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</si>
  <si>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</si>
  <si>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</si>
  <si>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</si>
  <si>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</si>
  <si>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</si>
  <si>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</si>
  <si>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</si>
  <si>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</si>
  <si>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</si>
  <si>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</si>
  <si>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</si>
  <si>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</si>
  <si>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</si>
  <si>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</si>
  <si>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</si>
  <si>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</si>
  <si>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</si>
  <si>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</si>
  <si>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</si>
  <si>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</si>
  <si>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</si>
  <si>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</si>
  <si>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</si>
  <si>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</si>
  <si>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</si>
  <si>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</si>
  <si>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</si>
  <si>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</si>
  <si>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</si>
  <si>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</si>
  <si>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</si>
  <si>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</si>
  <si>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</si>
  <si>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</si>
  <si>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</si>
  <si>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</si>
  <si>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</si>
  <si>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</si>
  <si>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</si>
  <si>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</si>
  <si>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</si>
  <si>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</si>
  <si>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</si>
  <si>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</si>
  <si>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</si>
  <si>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</si>
  <si>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</si>
  <si>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</si>
  <si>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</si>
  <si>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</si>
  <si>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</si>
  <si>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</si>
  <si>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</si>
  <si>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</si>
  <si>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</si>
  <si>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</si>
  <si>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</si>
  <si>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</si>
  <si>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</si>
  <si>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</si>
  <si>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</si>
  <si>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</si>
  <si>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</si>
  <si>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</si>
  <si>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</si>
  <si>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</si>
  <si>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</si>
  <si>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</si>
  <si>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</si>
  <si>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</si>
  <si>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</si>
  <si>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</si>
  <si>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</si>
  <si>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</si>
  <si>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</si>
  <si>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</si>
  <si>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</si>
  <si>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</si>
  <si>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</si>
  <si>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</si>
  <si>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</si>
  <si>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</si>
  <si>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</si>
  <si>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</si>
  <si>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</si>
  <si>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</si>
  <si>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</si>
  <si>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</si>
  <si>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</si>
  <si>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</si>
  <si>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</si>
  <si>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</si>
  <si>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</si>
  <si>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</si>
  <si>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</si>
  <si>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</si>
  <si>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</si>
  <si>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</si>
  <si>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</si>
  <si>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</si>
  <si>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</si>
  <si>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</si>
  <si>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</si>
  <si>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</si>
  <si>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</si>
  <si>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</si>
  <si>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</si>
  <si>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</si>
  <si>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</si>
  <si>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</si>
  <si>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</si>
  <si>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</si>
  <si>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</si>
  <si>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</si>
  <si>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</si>
  <si>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</si>
  <si>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</si>
  <si>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</si>
  <si>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</si>
  <si>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</si>
  <si>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</si>
  <si>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</si>
  <si>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</si>
  <si>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</si>
  <si>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</si>
  <si>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</si>
  <si>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</si>
  <si>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</si>
  <si>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</si>
  <si>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</si>
  <si>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</si>
  <si>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</si>
  <si>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</si>
  <si>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</si>
  <si>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</si>
  <si>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</si>
  <si>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</si>
  <si>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</si>
  <si>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</si>
  <si>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</si>
  <si>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</si>
  <si>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</si>
  <si>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</si>
  <si>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</si>
  <si>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</si>
  <si>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</si>
  <si>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</si>
  <si>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</si>
  <si>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</si>
  <si>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</si>
  <si>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</si>
  <si>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</si>
  <si>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</si>
  <si>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</si>
  <si>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</si>
  <si>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</si>
  <si>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</si>
  <si>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</si>
  <si>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</si>
  <si>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</si>
  <si>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</si>
  <si>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</si>
  <si>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</si>
  <si>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</si>
  <si>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</si>
  <si>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</si>
  <si>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</si>
  <si>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</si>
  <si>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</si>
  <si>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</si>
  <si>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</si>
  <si>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</si>
  <si>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</si>
  <si>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</si>
  <si>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</si>
  <si>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</si>
  <si>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</si>
  <si>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</si>
  <si>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</si>
  <si>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</si>
  <si>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</si>
  <si>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</si>
  <si>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</si>
  <si>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</si>
  <si>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</si>
  <si>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</si>
  <si>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</si>
  <si>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</si>
  <si>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</si>
  <si>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</si>
  <si>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</si>
  <si>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</si>
  <si>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</si>
  <si>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</si>
  <si>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</si>
  <si>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</si>
  <si>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</si>
  <si>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</si>
  <si>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</si>
  <si>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</si>
  <si>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</si>
  <si>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</si>
  <si>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</si>
  <si>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</si>
  <si>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</si>
  <si>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</si>
  <si>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</si>
  <si>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</si>
  <si>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</si>
  <si>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</si>
  <si>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</si>
  <si>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</si>
  <si>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</si>
  <si>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</si>
  <si>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</si>
  <si>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</si>
  <si>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</si>
  <si>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</si>
  <si>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</si>
  <si>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</si>
  <si>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</si>
  <si>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</si>
  <si>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</si>
  <si>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</si>
  <si>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</si>
  <si>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</si>
  <si>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</si>
  <si>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</si>
  <si>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</si>
  <si>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</si>
  <si>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</si>
  <si>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</si>
  <si>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</si>
  <si>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</si>
  <si>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</si>
  <si>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</si>
  <si>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</si>
  <si>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</si>
  <si>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</si>
  <si>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</si>
  <si>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</si>
  <si>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</si>
  <si>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</si>
  <si>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</si>
  <si>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</si>
  <si>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</si>
  <si>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</si>
  <si>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</si>
  <si>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</si>
  <si>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</si>
  <si>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</si>
  <si>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</si>
  <si>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</si>
  <si>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</si>
  <si>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</si>
  <si>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</si>
  <si>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</si>
  <si>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</si>
  <si>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</si>
  <si>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</si>
  <si>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</si>
  <si>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</si>
  <si>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</si>
  <si>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</si>
  <si>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</si>
  <si>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</si>
  <si>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</si>
  <si>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</si>
  <si>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</si>
  <si>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</si>
  <si>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</si>
  <si>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</si>
  <si>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</si>
  <si>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</si>
  <si>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</si>
  <si>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</si>
  <si>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</si>
  <si>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</si>
  <si>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</si>
  <si>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</si>
  <si>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</si>
  <si>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</si>
  <si>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</si>
  <si>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</si>
  <si>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</si>
  <si>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</si>
  <si>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</si>
  <si>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</si>
  <si>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</si>
  <si>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</si>
  <si>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</si>
  <si>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</si>
  <si>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</si>
  <si>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</si>
  <si>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</si>
  <si>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</si>
  <si>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</si>
  <si>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</si>
  <si>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</si>
  <si>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</si>
  <si>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</si>
  <si>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</si>
  <si>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</si>
  <si>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</si>
  <si>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</si>
  <si>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</si>
  <si>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</si>
  <si>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</si>
  <si>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</si>
  <si>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</si>
  <si>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</si>
  <si>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</si>
  <si>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</si>
  <si>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</si>
  <si>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</si>
  <si>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</si>
  <si>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</si>
  <si>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</si>
  <si>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</si>
  <si>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</si>
  <si>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</si>
  <si>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</si>
  <si>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</si>
  <si>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</si>
  <si>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</si>
  <si>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</si>
  <si>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</si>
  <si>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</si>
  <si>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</si>
  <si>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</si>
  <si>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</si>
  <si>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</si>
  <si>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</si>
  <si>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</si>
  <si>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</si>
  <si>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</si>
  <si>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</si>
  <si>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</si>
  <si>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</si>
  <si>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</si>
  <si>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</si>
  <si>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</si>
  <si>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</si>
  <si>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</si>
  <si>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</si>
  <si>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</si>
  <si>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</si>
  <si>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</si>
  <si>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</si>
  <si>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</si>
  <si>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</si>
  <si>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</si>
  <si>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</si>
  <si>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</si>
  <si>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</si>
  <si>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</si>
  <si>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</si>
  <si>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</si>
  <si>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</si>
  <si>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</si>
  <si>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</si>
  <si>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</si>
  <si>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</si>
  <si>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</si>
  <si>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</si>
  <si>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</si>
  <si>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</si>
  <si>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</si>
  <si>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</si>
  <si>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</si>
  <si>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</si>
  <si>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</si>
  <si>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</si>
  <si>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</si>
  <si>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</si>
  <si>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</si>
  <si>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</si>
  <si>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</si>
  <si>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</si>
  <si>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</si>
  <si>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</si>
  <si>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</si>
  <si>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</si>
  <si>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</si>
  <si>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</si>
  <si>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</si>
  <si>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</si>
  <si>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</si>
  <si>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</si>
  <si>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</si>
  <si>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</si>
  <si>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</si>
  <si>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</si>
  <si>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</si>
  <si>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</si>
  <si>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</si>
  <si>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</si>
  <si>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</si>
  <si>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</si>
  <si>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</si>
  <si>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</si>
  <si>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</si>
  <si>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</si>
  <si>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</si>
  <si>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</si>
  <si>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</si>
  <si>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</si>
  <si>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</si>
  <si>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</si>
  <si>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</si>
  <si>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</si>
  <si>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</si>
  <si>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</si>
  <si>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</si>
  <si>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</si>
  <si>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</si>
  <si>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</si>
  <si>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</si>
  <si>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</si>
  <si>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</si>
  <si>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</si>
  <si>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</si>
  <si>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</si>
  <si>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</si>
  <si>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</si>
  <si>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</si>
  <si>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</si>
  <si>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</si>
  <si>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</si>
  <si>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</si>
  <si>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</si>
  <si>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</si>
  <si>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</si>
  <si>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</si>
  <si>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</si>
  <si>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</si>
  <si>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</si>
  <si>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</si>
  <si>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</si>
  <si>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</si>
  <si>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</si>
  <si>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</si>
  <si>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</si>
  <si>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</si>
  <si>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</si>
  <si>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</si>
  <si>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</si>
  <si>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</si>
  <si>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</si>
  <si>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</si>
  <si>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</si>
  <si>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</si>
  <si>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</si>
  <si>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</si>
  <si>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</si>
  <si>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</si>
  <si>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</si>
  <si>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</si>
  <si>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</si>
  <si>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</si>
  <si>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</si>
  <si>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</si>
  <si>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</si>
  <si>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</si>
  <si>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</si>
  <si>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</si>
  <si>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</si>
  <si>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</si>
  <si>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</si>
  <si>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</si>
  <si>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</si>
  <si>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</si>
  <si>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</si>
  <si>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</si>
  <si>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</si>
  <si>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</si>
  <si>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</si>
  <si>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</si>
  <si>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</si>
  <si>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</si>
  <si>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</si>
  <si>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</si>
  <si>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</si>
  <si>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</si>
  <si>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</si>
  <si>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</si>
  <si>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</si>
  <si>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</si>
  <si>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</si>
  <si>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</si>
  <si>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</si>
  <si>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</si>
  <si>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</si>
  <si>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</si>
  <si>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</si>
  <si>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</si>
  <si>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</si>
  <si>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</si>
  <si>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</si>
  <si>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</si>
  <si>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</si>
  <si>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</si>
  <si>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</si>
  <si>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</si>
  <si>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</si>
  <si>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</si>
  <si>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</si>
  <si>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</si>
  <si>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</si>
  <si>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</si>
  <si>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</si>
  <si>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</si>
  <si>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</si>
  <si>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</si>
  <si>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</si>
  <si>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</si>
  <si>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</si>
  <si>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</si>
  <si>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</si>
  <si>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</si>
  <si>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</si>
  <si>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</si>
  <si>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</si>
  <si>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</si>
  <si>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</si>
  <si>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</si>
  <si>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</si>
  <si>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</si>
  <si>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</si>
  <si>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</si>
  <si>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</si>
  <si>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</si>
  <si>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</si>
  <si>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</si>
  <si>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</si>
  <si>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</si>
  <si>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</si>
  <si>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</si>
  <si>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</si>
  <si>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</si>
  <si>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</si>
  <si>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</si>
  <si>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</si>
  <si>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</si>
  <si>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</si>
  <si>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</si>
  <si>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</si>
  <si>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</si>
  <si>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</si>
  <si>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</si>
  <si>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</si>
  <si>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</si>
  <si>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</si>
  <si>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</si>
  <si>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</si>
  <si>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</si>
  <si>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</si>
  <si>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</si>
  <si>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</si>
  <si>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</si>
  <si>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</si>
  <si>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</si>
  <si>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</si>
  <si>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</si>
  <si>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</si>
  <si>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</si>
  <si>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</si>
  <si>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</si>
  <si>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</si>
  <si>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</si>
  <si>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</si>
  <si>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</si>
  <si>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</si>
  <si>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</si>
  <si>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</si>
  <si>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</si>
  <si>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</si>
  <si>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</si>
  <si>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</si>
  <si>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</si>
  <si>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</si>
  <si>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</si>
  <si>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</si>
  <si>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</si>
  <si>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</si>
  <si>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</si>
  <si>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</si>
  <si>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</si>
  <si>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</si>
  <si>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</si>
  <si>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</si>
  <si>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</si>
  <si>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</si>
  <si>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</si>
  <si>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</si>
  <si>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</si>
  <si>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</si>
  <si>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</si>
  <si>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</si>
  <si>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</si>
  <si>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</si>
  <si>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</si>
  <si>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</si>
  <si>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</si>
  <si>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</si>
  <si>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</si>
  <si>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</si>
  <si>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</si>
  <si>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</si>
  <si>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</si>
  <si>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</si>
  <si>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</si>
  <si>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</si>
  <si>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</si>
  <si>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</si>
  <si>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</si>
  <si>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</si>
  <si>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</si>
  <si>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</si>
  <si>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</si>
  <si>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</si>
  <si>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</si>
  <si>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</si>
  <si>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</si>
  <si>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</si>
  <si>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</si>
  <si>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</si>
  <si>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</si>
  <si>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</si>
  <si>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</si>
  <si>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</si>
  <si>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</si>
  <si>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</si>
  <si>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</si>
  <si>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</si>
  <si>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</si>
  <si>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</si>
  <si>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</si>
  <si>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</si>
  <si>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</si>
  <si>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</si>
  <si>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</si>
  <si>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</si>
  <si>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</si>
  <si>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</si>
  <si>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</si>
  <si>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</si>
  <si>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</si>
  <si>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</si>
  <si>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</si>
  <si>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</si>
  <si>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</si>
  <si>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</si>
  <si>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</si>
  <si>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</si>
  <si>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</si>
  <si>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</si>
  <si>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</si>
  <si>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</si>
  <si>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</si>
  <si>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</si>
  <si>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</si>
  <si>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</si>
  <si>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</si>
  <si>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</si>
  <si>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</si>
  <si>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</si>
  <si>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</si>
  <si>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</si>
  <si>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</si>
  <si>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</si>
  <si>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</si>
  <si>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</si>
  <si>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</si>
  <si>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</si>
  <si>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</si>
  <si>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</si>
  <si>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</si>
  <si>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</si>
  <si>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</si>
  <si>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</si>
  <si>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</si>
  <si>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</si>
  <si>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</si>
  <si>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</si>
  <si>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</si>
  <si>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</si>
  <si>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</si>
  <si>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</si>
  <si>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</si>
  <si>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</si>
  <si>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</si>
  <si>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</si>
  <si>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</si>
  <si>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</si>
  <si>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</si>
  <si>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</si>
  <si>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</si>
  <si>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</si>
  <si>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</si>
  <si>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</si>
  <si>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</si>
  <si>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</si>
  <si>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</si>
  <si>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</si>
  <si>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</si>
  <si>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</si>
  <si>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</si>
  <si>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</si>
  <si>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</si>
  <si>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</si>
  <si>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</si>
  <si>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</si>
  <si>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</si>
  <si>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</si>
  <si>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</si>
  <si>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</si>
  <si>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</si>
  <si>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</si>
  <si>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</si>
  <si>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</si>
  <si>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</si>
  <si>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</si>
  <si>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</si>
  <si>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</si>
  <si>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</si>
  <si>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</si>
  <si>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</si>
  <si>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</si>
  <si>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</si>
  <si>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</si>
  <si>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</si>
  <si>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</si>
  <si>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</si>
  <si>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</si>
  <si>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</si>
  <si>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</si>
  <si>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</si>
  <si>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</si>
  <si>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</si>
  <si>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</si>
  <si>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</si>
  <si>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</si>
  <si>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</si>
  <si>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</si>
  <si>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</si>
  <si>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</si>
  <si>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</si>
  <si>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</si>
  <si>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</si>
  <si>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</si>
  <si>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</si>
  <si>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</si>
  <si>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</si>
  <si>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</si>
  <si>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</si>
  <si>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</si>
  <si>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</si>
  <si>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</si>
  <si>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</si>
  <si>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</si>
  <si>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</si>
  <si>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</si>
  <si>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</si>
  <si>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</si>
  <si>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</si>
  <si>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</si>
  <si>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</si>
  <si>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</si>
  <si>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</si>
  <si>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</si>
  <si>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</si>
  <si>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</si>
  <si>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</si>
  <si>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</si>
  <si>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</si>
  <si>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</si>
  <si>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</si>
  <si>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</si>
  <si>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</si>
  <si>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</si>
  <si>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</si>
  <si>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</si>
  <si>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</si>
  <si>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</si>
  <si>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</si>
  <si>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</si>
  <si>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</si>
  <si>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</si>
  <si>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</si>
  <si>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</si>
  <si>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</si>
  <si>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</si>
  <si>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</si>
  <si>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</si>
  <si>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</si>
  <si>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</si>
  <si>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</si>
  <si>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</si>
  <si>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</si>
  <si>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</si>
  <si>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</si>
  <si>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</si>
  <si>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</si>
  <si>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</si>
  <si>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</si>
  <si>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</si>
  <si>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</si>
  <si>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</si>
  <si>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</si>
  <si>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</si>
  <si>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</si>
  <si>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</si>
  <si>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</si>
  <si>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</si>
  <si>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</si>
  <si>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</si>
  <si>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</si>
  <si>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</si>
  <si>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</si>
  <si>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</si>
  <si>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</si>
  <si>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</si>
  <si>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</si>
  <si>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</si>
  <si>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</si>
  <si>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</si>
  <si>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</si>
  <si>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</si>
  <si>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</si>
  <si>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</si>
  <si>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</si>
  <si>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</si>
  <si>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</si>
  <si>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</si>
  <si>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</si>
  <si>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</si>
  <si>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</si>
  <si>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</si>
  <si>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</si>
  <si>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</si>
  <si>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</si>
  <si>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</si>
  <si>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</si>
  <si>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</si>
  <si>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</si>
  <si>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</si>
  <si>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</si>
  <si>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</si>
  <si>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</si>
  <si>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</si>
  <si>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</si>
  <si>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</si>
  <si>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</si>
  <si>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</si>
  <si>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</si>
  <si>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</si>
  <si>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</si>
  <si>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</si>
  <si>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</si>
  <si>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</si>
  <si>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</si>
  <si>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</si>
  <si>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</si>
  <si>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</si>
  <si>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</si>
  <si>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</si>
  <si>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</si>
  <si>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</si>
  <si>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</si>
  <si>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</si>
  <si>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</si>
  <si>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</si>
  <si>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</si>
  <si>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</si>
  <si>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</si>
  <si>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</si>
  <si>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</si>
  <si>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</si>
  <si>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</si>
  <si>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</si>
  <si>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</si>
  <si>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</si>
  <si>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</si>
  <si>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</si>
  <si>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</si>
  <si>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</si>
  <si>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</si>
  <si>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</si>
  <si>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</si>
  <si>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</si>
  <si>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</si>
  <si>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</si>
  <si>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</si>
  <si>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</si>
  <si>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</si>
  <si>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</si>
  <si>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</si>
  <si>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</si>
  <si>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</si>
  <si>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</si>
  <si>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</si>
  <si>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</si>
  <si>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</si>
  <si>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</si>
  <si>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</si>
  <si>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</si>
  <si>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</si>
  <si>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</si>
  <si>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</si>
  <si>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</si>
  <si>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</si>
  <si>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</si>
  <si>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</si>
  <si>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</si>
  <si>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</si>
  <si>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</si>
  <si>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</si>
  <si>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</si>
  <si>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</si>
  <si>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</si>
  <si>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</si>
  <si>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</si>
  <si>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</si>
  <si>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</si>
  <si>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</si>
  <si>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</si>
  <si>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</si>
  <si>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</si>
  <si>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</si>
  <si>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</si>
  <si>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</si>
  <si>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</si>
  <si>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</si>
  <si>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</si>
  <si>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</si>
  <si>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</si>
  <si>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</si>
  <si>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</si>
  <si>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</si>
  <si>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</si>
  <si>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</si>
  <si>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</si>
  <si>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</si>
  <si>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</si>
  <si>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</si>
  <si>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</si>
  <si>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</si>
  <si>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</si>
  <si>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</si>
  <si>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</si>
  <si>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</si>
  <si>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</si>
  <si>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</si>
  <si>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</si>
  <si>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</si>
  <si>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</si>
  <si>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</si>
  <si>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</si>
  <si>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</si>
  <si>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</si>
  <si>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</si>
  <si>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</si>
  <si>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</si>
  <si>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</si>
  <si>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</si>
  <si>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</si>
  <si>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</si>
  <si>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</si>
  <si>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</si>
  <si>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</si>
  <si>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</si>
  <si>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</si>
  <si>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</si>
  <si>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</si>
  <si>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</si>
  <si>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</si>
  <si>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</si>
  <si>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</si>
  <si>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</si>
  <si>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</si>
  <si>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</si>
  <si>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</si>
  <si>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</si>
  <si>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</si>
  <si>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</si>
  <si>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</si>
  <si>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</si>
  <si>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</si>
  <si>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</si>
  <si>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</si>
  <si>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</si>
  <si>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</si>
  <si>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</si>
  <si>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</si>
  <si>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</si>
  <si>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</si>
  <si>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</si>
  <si>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</si>
  <si>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</si>
  <si>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</si>
  <si>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</si>
  <si>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</si>
  <si>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</si>
  <si>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</si>
  <si>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</si>
  <si>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</si>
  <si>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</si>
  <si>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</si>
  <si>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</si>
  <si>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</si>
  <si>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</si>
  <si>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</si>
  <si>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</si>
  <si>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</si>
  <si>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</si>
  <si>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</si>
  <si>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</si>
  <si>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</si>
  <si>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</si>
  <si>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</si>
  <si>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</si>
  <si>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</si>
  <si>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</si>
  <si>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</si>
  <si>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</si>
  <si>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</si>
  <si>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</si>
  <si>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</si>
  <si>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</si>
  <si>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</si>
  <si>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</si>
  <si>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</si>
  <si>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</si>
  <si>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</si>
  <si>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</si>
  <si>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</si>
  <si>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</si>
  <si>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</si>
  <si>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</si>
  <si>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</si>
  <si>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</si>
  <si>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</si>
  <si>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</si>
  <si>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</si>
  <si>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</si>
  <si>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</si>
  <si>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</si>
  <si>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</si>
  <si>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</si>
  <si>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</si>
  <si>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</si>
  <si>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</si>
  <si>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</si>
  <si>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</si>
  <si>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</si>
  <si>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</si>
  <si>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</si>
  <si>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</si>
  <si>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</si>
  <si>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</si>
  <si>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</si>
  <si>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</si>
  <si>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</si>
  <si>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</si>
  <si>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</si>
  <si>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</si>
  <si>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</si>
  <si>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</si>
  <si>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</si>
  <si>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</si>
  <si>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</si>
  <si>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</si>
  <si>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</si>
  <si>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</si>
  <si>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</si>
  <si>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</si>
  <si>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</si>
  <si>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</si>
  <si>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</si>
  <si>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</si>
  <si>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</si>
  <si>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</si>
  <si>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</si>
  <si>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</si>
  <si>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</si>
  <si>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</si>
  <si>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</si>
  <si>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</si>
  <si>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</si>
  <si>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</si>
  <si>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</si>
  <si>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</si>
  <si>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</si>
  <si>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</si>
  <si>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</si>
  <si>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</si>
  <si>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</si>
  <si>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</si>
  <si>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</si>
  <si>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</si>
  <si>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</si>
  <si>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</si>
  <si>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</si>
  <si>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</si>
  <si>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</si>
  <si>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</si>
  <si>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</si>
  <si>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</si>
  <si>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</si>
  <si>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</si>
  <si>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</si>
  <si>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</si>
  <si>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</si>
  <si>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</si>
  <si>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</si>
  <si>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</si>
  <si>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</si>
  <si>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</si>
  <si>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</si>
  <si>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</si>
  <si>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</si>
  <si>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</si>
  <si>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</si>
  <si>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</si>
  <si>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</si>
  <si>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</si>
  <si>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</si>
  <si>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</si>
  <si>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</si>
  <si>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</si>
  <si>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</si>
  <si>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</si>
  <si>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</si>
  <si>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</si>
  <si>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</si>
  <si>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</si>
  <si>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</si>
  <si>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</si>
  <si>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</si>
  <si>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</si>
  <si>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</si>
  <si>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</si>
  <si>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</si>
  <si>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</si>
  <si>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</si>
  <si>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</si>
  <si>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</si>
  <si>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</si>
  <si>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</si>
  <si>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</si>
  <si>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</si>
  <si>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</si>
  <si>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</si>
  <si>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</si>
  <si>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</si>
  <si>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</si>
  <si>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</si>
  <si>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</si>
  <si>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</si>
  <si>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</si>
  <si>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</si>
  <si>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</si>
  <si>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</si>
  <si>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</si>
  <si>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</si>
  <si>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</si>
  <si>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</si>
  <si>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</si>
  <si>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</si>
  <si>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</si>
  <si>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</si>
  <si>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</si>
  <si>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</si>
  <si>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</si>
  <si>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</si>
  <si>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</si>
  <si>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</si>
  <si>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</si>
  <si>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</si>
  <si>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</si>
  <si>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</si>
  <si>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</si>
  <si>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</si>
  <si>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</si>
  <si>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</si>
  <si>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</si>
  <si>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</si>
  <si>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</si>
  <si>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</si>
  <si>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</si>
  <si>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</si>
  <si>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</si>
  <si>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</si>
  <si>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</si>
  <si>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</si>
  <si>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</si>
  <si>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</si>
  <si>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</si>
  <si>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</si>
  <si>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</si>
  <si>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</si>
  <si>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</si>
  <si>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</si>
  <si>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</si>
  <si>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</si>
  <si>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</si>
  <si>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</si>
  <si>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</si>
  <si>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</si>
  <si>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</si>
  <si>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</si>
  <si>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</si>
  <si>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</si>
  <si>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</si>
  <si>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</si>
  <si>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</si>
  <si>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</si>
  <si>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</si>
  <si>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</si>
  <si>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</si>
  <si>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</si>
  <si>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</si>
  <si>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</si>
  <si>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</si>
  <si>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</si>
  <si>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</si>
  <si>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</si>
  <si>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</si>
  <si>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</si>
  <si>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</si>
  <si>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</si>
  <si>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</si>
  <si>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</si>
  <si>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</si>
  <si>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</si>
  <si>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</si>
  <si>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</si>
  <si>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</si>
  <si>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</si>
  <si>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</si>
  <si>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</si>
  <si>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</si>
  <si>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</si>
  <si>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</si>
  <si>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</si>
  <si>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</si>
  <si>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</si>
  <si>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</si>
  <si>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</si>
  <si>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</si>
  <si>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</si>
  <si>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</si>
  <si>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</si>
  <si>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</si>
  <si>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</si>
  <si>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</si>
  <si>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</si>
  <si>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</si>
  <si>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</si>
  <si>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</si>
  <si>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</si>
  <si>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</si>
  <si>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</si>
  <si>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</si>
  <si>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</si>
  <si>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</si>
  <si>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</si>
  <si>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</si>
  <si>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</si>
  <si>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</si>
  <si>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</si>
  <si>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</si>
  <si>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</si>
  <si>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</si>
  <si>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</si>
  <si>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</si>
  <si>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</si>
  <si>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</si>
  <si>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</si>
  <si>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</si>
  <si>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</si>
  <si>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</si>
  <si>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</si>
  <si>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</si>
  <si>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</si>
  <si>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</si>
  <si>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</si>
  <si>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</si>
  <si>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</si>
  <si>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</si>
  <si>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</si>
  <si>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</si>
  <si>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</si>
  <si>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</si>
  <si>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</si>
  <si>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</si>
  <si>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</si>
  <si>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</si>
  <si>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</si>
  <si>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</si>
  <si>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</si>
  <si>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</si>
  <si>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</si>
  <si>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</si>
  <si>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</si>
  <si>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</si>
  <si>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</si>
  <si>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</si>
  <si>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</si>
  <si>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</si>
  <si>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</si>
  <si>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</si>
  <si>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</si>
  <si>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</si>
  <si>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</si>
  <si>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</si>
  <si>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</si>
  <si>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</si>
  <si>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</si>
  <si>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</si>
  <si>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</si>
  <si>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</si>
  <si>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</si>
  <si>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</si>
  <si>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</si>
  <si>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</si>
  <si>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</si>
  <si>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</si>
  <si>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</si>
  <si>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</si>
  <si>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</si>
  <si>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</si>
  <si>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</si>
  <si>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</si>
  <si>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</si>
  <si>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</si>
  <si>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</si>
  <si>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</si>
  <si>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</si>
  <si>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</si>
  <si>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</si>
  <si>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</si>
  <si>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</si>
  <si>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</si>
  <si>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</si>
  <si>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</si>
  <si>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</si>
  <si>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</si>
  <si>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</si>
  <si>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</si>
  <si>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</si>
  <si>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</si>
  <si>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</si>
  <si>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</si>
  <si>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</si>
  <si>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</si>
  <si>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</si>
  <si>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</si>
  <si>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</si>
  <si>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</si>
  <si>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</si>
  <si>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</si>
  <si>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</si>
  <si>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</si>
  <si>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</si>
  <si>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</si>
  <si>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</si>
  <si>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</si>
  <si>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</si>
  <si>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</si>
  <si>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</si>
  <si>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</si>
  <si>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</si>
  <si>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</si>
  <si>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</si>
  <si>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</si>
  <si>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</si>
  <si>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</si>
  <si>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</si>
  <si>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</si>
  <si>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</si>
  <si>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</si>
  <si>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</si>
  <si>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</si>
  <si>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</si>
  <si>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</si>
  <si>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</si>
  <si>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</si>
  <si>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</si>
  <si>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</si>
  <si>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</si>
  <si>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</si>
  <si>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</si>
  <si>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</si>
  <si>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</si>
  <si>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</si>
  <si>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</si>
  <si>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</si>
  <si>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</si>
  <si>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</si>
  <si>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</si>
  <si>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</si>
  <si>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</si>
  <si>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</si>
  <si>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</si>
  <si>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</si>
  <si>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</si>
  <si>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</si>
  <si>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</si>
  <si>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</si>
  <si>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</si>
  <si>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</si>
  <si>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</si>
  <si>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</si>
  <si>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</si>
  <si>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</si>
  <si>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</si>
  <si>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</si>
  <si>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</si>
  <si>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</si>
  <si>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</si>
  <si>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</si>
  <si>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</si>
  <si>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</si>
  <si>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</si>
  <si>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</si>
  <si>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</si>
  <si>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</si>
  <si>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</si>
  <si>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</si>
  <si>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</si>
  <si>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</si>
  <si>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</si>
  <si>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</si>
  <si>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</si>
  <si>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</si>
  <si>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</si>
  <si>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</si>
  <si>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</si>
  <si>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</si>
  <si>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</si>
  <si>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</si>
  <si>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</si>
  <si>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</si>
  <si>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</si>
  <si>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</si>
  <si>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</si>
  <si>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</si>
  <si>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</si>
  <si>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</si>
  <si>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</si>
  <si>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</si>
  <si>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</si>
  <si>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</si>
  <si>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</si>
  <si>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</si>
  <si>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</si>
  <si>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</si>
  <si>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</si>
  <si>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</si>
  <si>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</si>
  <si>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</si>
  <si>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</si>
  <si>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</si>
  <si>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</si>
  <si>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</si>
  <si>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</si>
  <si>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</si>
  <si>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</si>
  <si>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</si>
  <si>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</si>
  <si>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</si>
  <si>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</si>
  <si>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</si>
  <si>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</si>
  <si>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</si>
  <si>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</si>
  <si>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</si>
  <si>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</si>
  <si>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</si>
  <si>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</si>
  <si>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</si>
  <si>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</si>
  <si>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</si>
  <si>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</si>
  <si>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</si>
  <si>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</si>
  <si>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</si>
  <si>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</si>
  <si>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</si>
  <si>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</si>
  <si>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</si>
  <si>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</si>
  <si>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</si>
  <si>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</si>
  <si>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</si>
  <si>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</si>
  <si>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</si>
  <si>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</si>
  <si>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</si>
  <si>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</si>
  <si>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</si>
  <si>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</si>
  <si>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</si>
  <si>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</si>
  <si>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</si>
  <si>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</si>
  <si>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</si>
  <si>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</si>
  <si>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</si>
  <si>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</si>
  <si>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</si>
  <si>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</si>
  <si>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</si>
  <si>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</si>
  <si>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</si>
  <si>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</si>
  <si>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</si>
  <si>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</si>
  <si>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</si>
  <si>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</si>
  <si>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</si>
  <si>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</si>
  <si>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</si>
  <si>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</si>
  <si>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</si>
  <si>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</si>
  <si>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</si>
  <si>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</si>
  <si>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</si>
  <si>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</si>
  <si>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</si>
  <si>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</si>
  <si>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</si>
  <si>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</si>
  <si>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</si>
  <si>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</si>
  <si>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</si>
  <si>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</si>
  <si>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</si>
  <si>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</si>
  <si>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</si>
  <si>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</si>
  <si>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</si>
  <si>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</si>
  <si>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</si>
  <si>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</si>
  <si>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</si>
  <si>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</si>
  <si>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</si>
  <si>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</si>
  <si>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</si>
  <si>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</si>
  <si>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</si>
  <si>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</si>
  <si>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</si>
  <si>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</si>
  <si>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</si>
  <si>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</si>
  <si>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</si>
  <si>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</si>
  <si>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</si>
  <si>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</si>
  <si>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</si>
  <si>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</si>
  <si>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</si>
  <si>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</si>
  <si>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</si>
  <si>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</si>
  <si>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</si>
  <si>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</si>
  <si>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</si>
  <si>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</si>
  <si>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</si>
  <si>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</si>
  <si>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</si>
  <si>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</si>
  <si>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</si>
  <si>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</si>
  <si>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</si>
  <si>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</si>
  <si>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</si>
  <si>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</si>
  <si>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</si>
  <si>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</si>
  <si>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</si>
  <si>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</si>
  <si>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</si>
  <si>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</si>
  <si>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</si>
  <si>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</si>
  <si>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</si>
  <si>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</si>
  <si>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</si>
  <si>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</si>
  <si>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</si>
  <si>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</si>
  <si>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</si>
  <si>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</si>
  <si>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</si>
  <si>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</si>
  <si>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</si>
  <si>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</si>
  <si>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</si>
  <si>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</si>
  <si>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</si>
  <si>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</si>
  <si>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</si>
  <si>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</si>
  <si>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</si>
  <si>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</si>
  <si>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</si>
  <si>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</si>
  <si>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</si>
  <si>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</si>
  <si>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</si>
  <si>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</si>
  <si>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</si>
  <si>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</si>
  <si>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</si>
  <si>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</si>
  <si>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</si>
  <si>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</si>
  <si>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</si>
  <si>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</si>
  <si>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</si>
  <si>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</si>
  <si>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</si>
  <si>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</si>
  <si>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</si>
  <si>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</si>
  <si>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</si>
  <si>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</si>
  <si>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</si>
  <si>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</si>
  <si>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</si>
  <si>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</si>
  <si>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</si>
  <si>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</si>
  <si>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</si>
  <si>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</si>
  <si>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</si>
  <si>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</si>
  <si>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</si>
  <si>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</si>
  <si>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</si>
  <si>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</si>
  <si>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</si>
  <si>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</si>
  <si>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</si>
  <si>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</si>
  <si>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</si>
  <si>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</si>
  <si>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</si>
  <si>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</si>
  <si>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</si>
  <si>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</si>
  <si>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</si>
  <si>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</si>
  <si>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</si>
  <si>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</si>
  <si>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</si>
  <si>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</si>
  <si>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</si>
  <si>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</si>
  <si>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</si>
  <si>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</si>
  <si>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</si>
  <si>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</si>
  <si>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</si>
  <si>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</si>
  <si>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>Contagem de País</t>
  </si>
  <si>
    <t xml:space="preserve">DINAMARCA </t>
  </si>
  <si>
    <t>SUIÇA</t>
  </si>
  <si>
    <t>Resultados</t>
  </si>
  <si>
    <t>Rótulos de Linha</t>
  </si>
  <si>
    <t>Total Geral</t>
  </si>
  <si>
    <t>Contagem de uf</t>
  </si>
  <si>
    <t>TOTAL DE 64 EMPRESAS.</t>
  </si>
  <si>
    <t>Rótulos de Coluna</t>
  </si>
  <si>
    <t>(vazio)</t>
  </si>
  <si>
    <t>Contagem de 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</si>
</sst>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/>
    </xf>
    <xf numFmtId="1" fontId="0" fillId="33" borderId="0" xfId="0" applyNumberFormat="1" applyFill="1" applyAlignment="1">
      <alignment horizontal="center"/>
    </xf>
    <xf numFmtId="14" fontId="0" fillId="0" borderId="0" xfId="0" applyNumberFormat="1"/>
    <xf numFmtId="0" fontId="0" fillId="34" borderId="11" xfId="0" applyFont="1" applyFill="1" applyBorder="1"/>
    <xf numFmtId="0" fontId="0" fillId="0" borderId="11" xfId="0" applyFont="1" applyBorder="1"/>
    <xf numFmtId="0" fontId="16" fillId="33" borderId="1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18" fillId="0" borderId="0" xfId="0" pivotButton="1" applyFont="1"/>
    <xf numFmtId="0" fontId="18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de empresas de cada pais no</a:t>
            </a:r>
            <a:r>
              <a:rPr lang="pt-BR" baseline="0"/>
              <a:t> BRASIL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'Contagem de Paises'!$B$3:$B$6</c:f>
              <c:strCache>
                <c:ptCount val="4"/>
                <c:pt idx="0">
                  <c:v>DINAMARCA </c:v>
                </c:pt>
                <c:pt idx="1">
                  <c:v>ALEMANHA</c:v>
                </c:pt>
                <c:pt idx="2">
                  <c:v>CHILE</c:v>
                </c:pt>
                <c:pt idx="3">
                  <c:v>SUIÇA</c:v>
                </c:pt>
              </c:strCache>
            </c:strRef>
          </c:cat>
          <c:val>
            <c:numRef>
              <c:f>'Contagem de Paises'!$C$3:$C$6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9-4546-A48D-F95B39D26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1456144"/>
        <c:axId val="431459096"/>
      </c:barChart>
      <c:catAx>
        <c:axId val="43145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1459096"/>
        <c:crosses val="autoZero"/>
        <c:auto val="1"/>
        <c:lblAlgn val="ctr"/>
        <c:lblOffset val="100"/>
        <c:noMultiLvlLbl val="0"/>
      </c:catAx>
      <c:valAx>
        <c:axId val="43145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145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de logistica noite.xlsx 1 (2)-1 INFORMATICA.xlsx]Empresas no DF!Tabela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Quais</a:t>
            </a:r>
            <a:r>
              <a:rPr lang="en-US" baseline="0"/>
              <a:t> e quantas empresas estão localizadas no DF</a:t>
            </a:r>
            <a:endParaRPr lang="en-US"/>
          </a:p>
        </c:rich>
      </c:tx>
      <c:layout>
        <c:manualLayout>
          <c:xMode val="edge"/>
          <c:yMode val="edge"/>
          <c:x val="0.12361111111111112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'Empresas no DF'!$B$3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'Empresas no DF'!$A$4:$A$64</c:f>
              <c:strCache>
                <c:ptCount val="60"/>
                <c:pt idx="0">
                  <c:v> HS INVESTIMENTOS E PARTICIPAÇÕES EM LOGÍSTICA LTDA</c:v>
                </c:pt>
                <c:pt idx="1">
                  <c:v> JOMAGA PARTICIPAÇÕES LTDA</c:v>
                </c:pt>
                <c:pt idx="2">
                  <c:v>5 Estrelas Infinity Serviços E Soluções Ltda</c:v>
                </c:pt>
                <c:pt idx="3">
                  <c:v>5 Estrelas Solution Em Transportes E Logísticas Ltda</c:v>
                </c:pt>
                <c:pt idx="4">
                  <c:v>Aac Transportes Rodoviário Cargas Ltda</c:v>
                </c:pt>
                <c:pt idx="5">
                  <c:v>Abm Transportes Ltda - Me</c:v>
                </c:pt>
                <c:pt idx="6">
                  <c:v>Abrilar Transportes E Mudanças Ltda - Me</c:v>
                </c:pt>
                <c:pt idx="7">
                  <c:v>Airway Transportes Ltda</c:v>
                </c:pt>
                <c:pt idx="8">
                  <c:v>Alpha Beta Transporte Ltda</c:v>
                </c:pt>
                <c:pt idx="9">
                  <c:v>Alpha Express Log E Transporte Eireli</c:v>
                </c:pt>
                <c:pt idx="10">
                  <c:v>Áquila Transporte De Cargas Ltda</c:v>
                </c:pt>
                <c:pt idx="11">
                  <c:v>Bll Barbosa Lobo Logística Ltda - Me</c:v>
                </c:pt>
                <c:pt idx="12">
                  <c:v>Bsb Operação Logística Ltda</c:v>
                </c:pt>
                <c:pt idx="13">
                  <c:v>Bsb-Df Transportes De Cargas Ltda</c:v>
                </c:pt>
                <c:pt idx="14">
                  <c:v>Byebox Logística Ltda</c:v>
                </c:pt>
                <c:pt idx="15">
                  <c:v>Car Collection Transportadora De Veículos Ltda - Me</c:v>
                </c:pt>
                <c:pt idx="16">
                  <c:v>Carggo Tecnologia Em Logística</c:v>
                </c:pt>
                <c:pt idx="17">
                  <c:v>Cargoflex Soluções Logísticas Ltda Epp</c:v>
                </c:pt>
                <c:pt idx="18">
                  <c:v>Chegoulog Transporte E Logística Ltda</c:v>
                </c:pt>
                <c:pt idx="19">
                  <c:v>Cinco Estrelas Transportes E Logística Ltda</c:v>
                </c:pt>
                <c:pt idx="20">
                  <c:v>Cosmopolitan Transportes Ltda - Epp</c:v>
                </c:pt>
                <c:pt idx="21">
                  <c:v>Cstrans Serviços De Transportes Ltda - Me</c:v>
                </c:pt>
                <c:pt idx="22">
                  <c:v>D Antunes Pinheiro Transportes Ltda</c:v>
                </c:pt>
                <c:pt idx="23">
                  <c:v>Dala Transportes Ltda - Me</c:v>
                </c:pt>
                <c:pt idx="24">
                  <c:v>Df Transportes E Logístisca Eireli - Me</c:v>
                </c:pt>
                <c:pt idx="25">
                  <c:v>Empresa Brasileira De Correios E Telégrafos</c:v>
                </c:pt>
                <c:pt idx="26">
                  <c:v>Encomendas E Transportes De Cargas Pontual Ltda</c:v>
                </c:pt>
                <c:pt idx="27">
                  <c:v>Fch Locações E Serviços Ltda</c:v>
                </c:pt>
                <c:pt idx="28">
                  <c:v>Jwc Transportes E Logística Ltda-Epp</c:v>
                </c:pt>
                <c:pt idx="29">
                  <c:v>Kennedy Onassis Comercio De Grãos Importação E Exportação Ltda</c:v>
                </c:pt>
                <c:pt idx="30">
                  <c:v>Logjato Transportes E Logistica Eireli</c:v>
                </c:pt>
                <c:pt idx="31">
                  <c:v>Macaw Brasil Transportes Eireli - Epp</c:v>
                </c:pt>
                <c:pt idx="32">
                  <c:v>Marca Sul Mudanças E Transportes Ltda</c:v>
                </c:pt>
                <c:pt idx="33">
                  <c:v>Medylog Logística E Distribuição Ltda</c:v>
                </c:pt>
                <c:pt idx="34">
                  <c:v>Midia Express Servicos Logisticos Ltda</c:v>
                </c:pt>
                <c:pt idx="35">
                  <c:v>Mídia Logística E Distribuição Ltda</c:v>
                </c:pt>
                <c:pt idx="36">
                  <c:v>Mundial Residence Logística Eireli - Epp</c:v>
                </c:pt>
                <c:pt idx="37">
                  <c:v>Nk Logística E Transportes Ltda</c:v>
                </c:pt>
                <c:pt idx="38">
                  <c:v>Novo Lar Mudanças E Transportes Ltda</c:v>
                </c:pt>
                <c:pt idx="39">
                  <c:v>Omni Comércio E Serviços Ltda</c:v>
                </c:pt>
                <c:pt idx="40">
                  <c:v>Quick Delivery Brasilia Entregas Rapidas De Encomendas Ltda</c:v>
                </c:pt>
                <c:pt idx="41">
                  <c:v>Rápido Transnil Transportes Ltda</c:v>
                </c:pt>
                <c:pt idx="42">
                  <c:v>Ribal Locadora De Veículos Ltda Epp</c:v>
                </c:pt>
                <c:pt idx="43">
                  <c:v>RICO SOLUÇÕES &amp; SERVIÇOS ESPECIALIZADOS LTDA</c:v>
                </c:pt>
                <c:pt idx="44">
                  <c:v>Rm Melo Transforporte Rodoviario E Aereo De Cargas Ltda</c:v>
                </c:pt>
                <c:pt idx="45">
                  <c:v>Rosangela Ceola Serviços De Entregas Rapidas E Transportes</c:v>
                </c:pt>
                <c:pt idx="46">
                  <c:v>Sacaai Comércio Alimentício E Distribuição De Grãos Ltda</c:v>
                </c:pt>
                <c:pt idx="47">
                  <c:v>Smart Transportadora E Logística Eireli Epp</c:v>
                </c:pt>
                <c:pt idx="48">
                  <c:v>Stamm Transportadora E Logistica Ltda</c:v>
                </c:pt>
                <c:pt idx="49">
                  <c:v>T.B Encomendas E Distribuições Ltda - Me</c:v>
                </c:pt>
                <c:pt idx="50">
                  <c:v>Transportadora Ney Das Mudanças Ltda</c:v>
                </c:pt>
                <c:pt idx="51">
                  <c:v>Transportes Gerais Botafogo Ltda</c:v>
                </c:pt>
                <c:pt idx="52">
                  <c:v>Transquavis Transportes Especiais Ltda - Me</c:v>
                </c:pt>
                <c:pt idx="53">
                  <c:v>Transul Serviços Locação E Transporte Ltda</c:v>
                </c:pt>
                <c:pt idx="54">
                  <c:v>Unitrans Mudanças E Transportes Eireli</c:v>
                </c:pt>
                <c:pt idx="55">
                  <c:v>Up Serviço Logística E Transportes Eireli</c:v>
                </c:pt>
                <c:pt idx="56">
                  <c:v>Up Transportes De Cargas Ltda</c:v>
                </c:pt>
                <c:pt idx="57">
                  <c:v>Vtc Operadora Logística Ltda</c:v>
                </c:pt>
                <c:pt idx="58">
                  <c:v>Wfretes Tecnologia E Meios De Pagamentos S.A</c:v>
                </c:pt>
                <c:pt idx="59">
                  <c:v>Zurick Log Transportes Eireli Epp</c:v>
                </c:pt>
              </c:strCache>
            </c:strRef>
          </c:cat>
          <c:val>
            <c:numRef>
              <c:f>'Empresas no DF'!$B$4:$B$64</c:f>
              <c:numCache>
                <c:formatCode>General</c:formatCode>
                <c:ptCount val="6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F-4A9B-9E4D-4396DFBF2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781384"/>
        <c:axId val="467780072"/>
      </c:barChart>
      <c:catAx>
        <c:axId val="46778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7780072"/>
        <c:crosses val="autoZero"/>
        <c:auto val="1"/>
        <c:lblAlgn val="ctr"/>
        <c:lblOffset val="100"/>
        <c:noMultiLvlLbl val="0"/>
      </c:catAx>
      <c:valAx>
        <c:axId val="46778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778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de logistica noite.xlsx 1 (2)-1 INFORMATICA.xlsx]Adesão ao decreto!Tabela dinâmica2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'Adesão ao decreto'!$B$1:$B$2</c:f>
              <c:strCache>
                <c:ptCount val="1"/>
                <c:pt idx="0">
                  <c:v>Não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'Adesão ao decreto'!$A$3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'Adesão ao decreto'!$B$3</c:f>
              <c:numCache>
                <c:formatCode>General</c:formatCode>
                <c:ptCount val="1"/>
                <c:pt idx="0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C-48CD-8899-FF7179804034}"/>
            </c:ext>
          </c:extLst>
        </c:ser>
        <c:ser>
          <c:idx val="1"/>
          <c:order val="1"/>
          <c:tx>
            <c:strRef>
              <c:f>'Adesão ao decreto'!$C$1:$C$2</c:f>
              <c:strCache>
                <c:ptCount val="1"/>
                <c:pt idx="0">
                  <c:v>Sim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'Adesão ao decreto'!$A$3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'Adesão ao decreto'!$C$3</c:f>
              <c:numCache>
                <c:formatCode>General</c:formatCode>
                <c:ptCount val="1"/>
                <c:pt idx="0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BC-48CD-8899-FF7179804034}"/>
            </c:ext>
          </c:extLst>
        </c:ser>
        <c:ser>
          <c:idx val="2"/>
          <c:order val="2"/>
          <c:tx>
            <c:strRef>
              <c:f>'Adesão ao decreto'!$D$1:$D$2</c:f>
              <c:strCache>
                <c:ptCount val="1"/>
                <c:pt idx="0">
                  <c:v>(vazio)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'Adesão ao decreto'!$A$3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'Adesão ao decreto'!$D$3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A2BC-48CD-8899-FF7179804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1046472"/>
        <c:axId val="441048112"/>
      </c:barChart>
      <c:catAx>
        <c:axId val="44104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048112"/>
        <c:crosses val="autoZero"/>
        <c:auto val="1"/>
        <c:lblAlgn val="ctr"/>
        <c:lblOffset val="100"/>
        <c:noMultiLvlLbl val="0"/>
      </c:catAx>
      <c:valAx>
        <c:axId val="4410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04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</xdr:row>
      <xdr:rowOff>0</xdr:rowOff>
    </xdr:from>
    <xdr:to>
      <xdr:col>12</xdr:col>
      <xdr:colOff>276225</xdr:colOff>
      <xdr:row>15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12</xdr:col>
      <xdr:colOff>419100</xdr:colOff>
      <xdr:row>14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Alberto Vertuli BETO" refreshedDate="46269.827936458336" createdVersion="6" refreshedVersion="6" minRefreshableVersion="3" recordCount="1382">
  <cacheSource type="worksheet">
    <worksheetSource ref="A1:B1383" sheet="Empresas do DF"/>
  </cacheSource>
  <cacheFields count="2"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arlos Alberto Vertuli BETO" refreshedDate="46312.707017361114" createdVersion="6" refreshedVersion="6" minRefreshableVersion="3" recordCount="1383">
  <cacheSource type="worksheet">
    <worksheetSource ref="A1:B1048576" sheet="Adesão ao decreto"/>
  </cacheSource>
  <cacheFields count="2">
    <cacheField name="adesao_ao_decreto_1563_95" numFmtId="0">
      <sharedItems containsBlank="1" count="3">
        <s v="Sim"/>
        <s v="Não"/>
        <m/>
      </sharedItems>
    </cacheField>
    <cacheField name="cnpj" numFmtId="1">
      <sharedItems containsString="0" containsBlank="1" containsNumber="1" containsInteger="1" minValue="40410" maxValue="974346900001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x v="0"/>
  </r>
  <r>
    <x v="1"/>
    <x v="0"/>
  </r>
  <r>
    <x v="2"/>
    <x v="1"/>
  </r>
  <r>
    <x v="3"/>
    <x v="2"/>
  </r>
  <r>
    <x v="4"/>
    <x v="0"/>
  </r>
  <r>
    <x v="5"/>
    <x v="3"/>
  </r>
  <r>
    <x v="6"/>
    <x v="4"/>
  </r>
  <r>
    <x v="7"/>
    <x v="3"/>
  </r>
  <r>
    <x v="8"/>
    <x v="0"/>
  </r>
  <r>
    <x v="9"/>
    <x v="5"/>
  </r>
  <r>
    <x v="10"/>
    <x v="3"/>
  </r>
  <r>
    <x v="11"/>
    <x v="6"/>
  </r>
  <r>
    <x v="12"/>
    <x v="3"/>
  </r>
  <r>
    <x v="13"/>
    <x v="3"/>
  </r>
  <r>
    <x v="14"/>
    <x v="1"/>
  </r>
  <r>
    <x v="15"/>
    <x v="7"/>
  </r>
  <r>
    <x v="16"/>
    <x v="5"/>
  </r>
  <r>
    <x v="17"/>
    <x v="1"/>
  </r>
  <r>
    <x v="18"/>
    <x v="1"/>
  </r>
  <r>
    <x v="19"/>
    <x v="3"/>
  </r>
  <r>
    <x v="20"/>
    <x v="2"/>
  </r>
  <r>
    <x v="21"/>
    <x v="3"/>
  </r>
  <r>
    <x v="22"/>
    <x v="8"/>
  </r>
  <r>
    <x v="23"/>
    <x v="3"/>
  </r>
  <r>
    <x v="24"/>
    <x v="9"/>
  </r>
  <r>
    <x v="25"/>
    <x v="3"/>
  </r>
  <r>
    <x v="26"/>
    <x v="1"/>
  </r>
  <r>
    <x v="27"/>
    <x v="3"/>
  </r>
  <r>
    <x v="28"/>
    <x v="3"/>
  </r>
  <r>
    <x v="29"/>
    <x v="10"/>
  </r>
  <r>
    <x v="30"/>
    <x v="11"/>
  </r>
  <r>
    <x v="31"/>
    <x v="9"/>
  </r>
  <r>
    <x v="32"/>
    <x v="6"/>
  </r>
  <r>
    <x v="33"/>
    <x v="7"/>
  </r>
  <r>
    <x v="34"/>
    <x v="0"/>
  </r>
  <r>
    <x v="35"/>
    <x v="4"/>
  </r>
  <r>
    <x v="36"/>
    <x v="0"/>
  </r>
  <r>
    <x v="37"/>
    <x v="0"/>
  </r>
  <r>
    <x v="38"/>
    <x v="0"/>
  </r>
  <r>
    <x v="39"/>
    <x v="7"/>
  </r>
  <r>
    <x v="40"/>
    <x v="0"/>
  </r>
  <r>
    <x v="41"/>
    <x v="3"/>
  </r>
  <r>
    <x v="42"/>
    <x v="5"/>
  </r>
  <r>
    <x v="43"/>
    <x v="0"/>
  </r>
  <r>
    <x v="44"/>
    <x v="5"/>
  </r>
  <r>
    <x v="44"/>
    <x v="5"/>
  </r>
  <r>
    <x v="45"/>
    <x v="8"/>
  </r>
  <r>
    <x v="46"/>
    <x v="8"/>
  </r>
  <r>
    <x v="47"/>
    <x v="8"/>
  </r>
  <r>
    <x v="48"/>
    <x v="8"/>
  </r>
  <r>
    <x v="49"/>
    <x v="8"/>
  </r>
  <r>
    <x v="50"/>
    <x v="8"/>
  </r>
  <r>
    <x v="51"/>
    <x v="12"/>
  </r>
  <r>
    <x v="52"/>
    <x v="12"/>
  </r>
  <r>
    <x v="53"/>
    <x v="4"/>
  </r>
  <r>
    <x v="54"/>
    <x v="4"/>
  </r>
  <r>
    <x v="55"/>
    <x v="4"/>
  </r>
  <r>
    <x v="56"/>
    <x v="4"/>
  </r>
  <r>
    <x v="57"/>
    <x v="4"/>
  </r>
  <r>
    <x v="58"/>
    <x v="4"/>
  </r>
  <r>
    <x v="59"/>
    <x v="4"/>
  </r>
  <r>
    <x v="60"/>
    <x v="4"/>
  </r>
  <r>
    <x v="61"/>
    <x v="4"/>
  </r>
  <r>
    <x v="62"/>
    <x v="4"/>
  </r>
  <r>
    <x v="63"/>
    <x v="4"/>
  </r>
  <r>
    <x v="64"/>
    <x v="4"/>
  </r>
  <r>
    <x v="65"/>
    <x v="4"/>
  </r>
  <r>
    <x v="66"/>
    <x v="4"/>
  </r>
  <r>
    <x v="67"/>
    <x v="4"/>
  </r>
  <r>
    <x v="68"/>
    <x v="4"/>
  </r>
  <r>
    <x v="68"/>
    <x v="4"/>
  </r>
  <r>
    <x v="69"/>
    <x v="4"/>
  </r>
  <r>
    <x v="70"/>
    <x v="4"/>
  </r>
  <r>
    <x v="71"/>
    <x v="4"/>
  </r>
  <r>
    <x v="72"/>
    <x v="4"/>
  </r>
  <r>
    <x v="73"/>
    <x v="4"/>
  </r>
  <r>
    <x v="74"/>
    <x v="4"/>
  </r>
  <r>
    <x v="75"/>
    <x v="4"/>
  </r>
  <r>
    <x v="76"/>
    <x v="4"/>
  </r>
  <r>
    <x v="77"/>
    <x v="4"/>
  </r>
  <r>
    <x v="78"/>
    <x v="4"/>
  </r>
  <r>
    <x v="79"/>
    <x v="4"/>
  </r>
  <r>
    <x v="80"/>
    <x v="4"/>
  </r>
  <r>
    <x v="81"/>
    <x v="4"/>
  </r>
  <r>
    <x v="82"/>
    <x v="4"/>
  </r>
  <r>
    <x v="83"/>
    <x v="4"/>
  </r>
  <r>
    <x v="84"/>
    <x v="4"/>
  </r>
  <r>
    <x v="85"/>
    <x v="4"/>
  </r>
  <r>
    <x v="85"/>
    <x v="4"/>
  </r>
  <r>
    <x v="86"/>
    <x v="4"/>
  </r>
  <r>
    <x v="87"/>
    <x v="4"/>
  </r>
  <r>
    <x v="88"/>
    <x v="4"/>
  </r>
  <r>
    <x v="89"/>
    <x v="4"/>
  </r>
  <r>
    <x v="90"/>
    <x v="4"/>
  </r>
  <r>
    <x v="91"/>
    <x v="4"/>
  </r>
  <r>
    <x v="92"/>
    <x v="4"/>
  </r>
  <r>
    <x v="93"/>
    <x v="4"/>
  </r>
  <r>
    <x v="94"/>
    <x v="4"/>
  </r>
  <r>
    <x v="95"/>
    <x v="4"/>
  </r>
  <r>
    <x v="96"/>
    <x v="4"/>
  </r>
  <r>
    <x v="97"/>
    <x v="4"/>
  </r>
  <r>
    <x v="98"/>
    <x v="4"/>
  </r>
  <r>
    <x v="99"/>
    <x v="4"/>
  </r>
  <r>
    <x v="100"/>
    <x v="4"/>
  </r>
  <r>
    <x v="101"/>
    <x v="4"/>
  </r>
  <r>
    <x v="102"/>
    <x v="4"/>
  </r>
  <r>
    <x v="103"/>
    <x v="4"/>
  </r>
  <r>
    <x v="104"/>
    <x v="4"/>
  </r>
  <r>
    <x v="104"/>
    <x v="4"/>
  </r>
  <r>
    <x v="105"/>
    <x v="4"/>
  </r>
  <r>
    <x v="106"/>
    <x v="4"/>
  </r>
  <r>
    <x v="107"/>
    <x v="4"/>
  </r>
  <r>
    <x v="108"/>
    <x v="4"/>
  </r>
  <r>
    <x v="109"/>
    <x v="4"/>
  </r>
  <r>
    <x v="110"/>
    <x v="4"/>
  </r>
  <r>
    <x v="111"/>
    <x v="4"/>
  </r>
  <r>
    <x v="112"/>
    <x v="4"/>
  </r>
  <r>
    <x v="113"/>
    <x v="4"/>
  </r>
  <r>
    <x v="114"/>
    <x v="4"/>
  </r>
  <r>
    <x v="115"/>
    <x v="4"/>
  </r>
  <r>
    <x v="116"/>
    <x v="4"/>
  </r>
  <r>
    <x v="117"/>
    <x v="4"/>
  </r>
  <r>
    <x v="118"/>
    <x v="4"/>
  </r>
  <r>
    <x v="119"/>
    <x v="4"/>
  </r>
  <r>
    <x v="120"/>
    <x v="4"/>
  </r>
  <r>
    <x v="121"/>
    <x v="4"/>
  </r>
  <r>
    <x v="122"/>
    <x v="4"/>
  </r>
  <r>
    <x v="123"/>
    <x v="4"/>
  </r>
  <r>
    <x v="124"/>
    <x v="4"/>
  </r>
  <r>
    <x v="125"/>
    <x v="4"/>
  </r>
  <r>
    <x v="126"/>
    <x v="4"/>
  </r>
  <r>
    <x v="127"/>
    <x v="4"/>
  </r>
  <r>
    <x v="128"/>
    <x v="4"/>
  </r>
  <r>
    <x v="129"/>
    <x v="4"/>
  </r>
  <r>
    <x v="129"/>
    <x v="4"/>
  </r>
  <r>
    <x v="129"/>
    <x v="4"/>
  </r>
  <r>
    <x v="130"/>
    <x v="4"/>
  </r>
  <r>
    <x v="131"/>
    <x v="4"/>
  </r>
  <r>
    <x v="132"/>
    <x v="4"/>
  </r>
  <r>
    <x v="133"/>
    <x v="4"/>
  </r>
  <r>
    <x v="134"/>
    <x v="4"/>
  </r>
  <r>
    <x v="135"/>
    <x v="4"/>
  </r>
  <r>
    <x v="136"/>
    <x v="4"/>
  </r>
  <r>
    <x v="137"/>
    <x v="4"/>
  </r>
  <r>
    <x v="138"/>
    <x v="4"/>
  </r>
  <r>
    <x v="139"/>
    <x v="4"/>
  </r>
  <r>
    <x v="140"/>
    <x v="4"/>
  </r>
  <r>
    <x v="141"/>
    <x v="4"/>
  </r>
  <r>
    <x v="142"/>
    <x v="4"/>
  </r>
  <r>
    <x v="143"/>
    <x v="4"/>
  </r>
  <r>
    <x v="144"/>
    <x v="13"/>
  </r>
  <r>
    <x v="145"/>
    <x v="6"/>
  </r>
  <r>
    <x v="146"/>
    <x v="6"/>
  </r>
  <r>
    <x v="147"/>
    <x v="6"/>
  </r>
  <r>
    <x v="148"/>
    <x v="6"/>
  </r>
  <r>
    <x v="149"/>
    <x v="6"/>
  </r>
  <r>
    <x v="150"/>
    <x v="6"/>
  </r>
  <r>
    <x v="151"/>
    <x v="6"/>
  </r>
  <r>
    <x v="152"/>
    <x v="6"/>
  </r>
  <r>
    <x v="153"/>
    <x v="6"/>
  </r>
  <r>
    <x v="154"/>
    <x v="6"/>
  </r>
  <r>
    <x v="155"/>
    <x v="6"/>
  </r>
  <r>
    <x v="156"/>
    <x v="6"/>
  </r>
  <r>
    <x v="157"/>
    <x v="6"/>
  </r>
  <r>
    <x v="158"/>
    <x v="6"/>
  </r>
  <r>
    <x v="159"/>
    <x v="6"/>
  </r>
  <r>
    <x v="160"/>
    <x v="6"/>
  </r>
  <r>
    <x v="161"/>
    <x v="6"/>
  </r>
  <r>
    <x v="162"/>
    <x v="6"/>
  </r>
  <r>
    <x v="163"/>
    <x v="6"/>
  </r>
  <r>
    <x v="164"/>
    <x v="6"/>
  </r>
  <r>
    <x v="165"/>
    <x v="6"/>
  </r>
  <r>
    <x v="166"/>
    <x v="6"/>
  </r>
  <r>
    <x v="167"/>
    <x v="6"/>
  </r>
  <r>
    <x v="168"/>
    <x v="6"/>
  </r>
  <r>
    <x v="169"/>
    <x v="6"/>
  </r>
  <r>
    <x v="169"/>
    <x v="6"/>
  </r>
  <r>
    <x v="170"/>
    <x v="6"/>
  </r>
  <r>
    <x v="171"/>
    <x v="6"/>
  </r>
  <r>
    <x v="172"/>
    <x v="6"/>
  </r>
  <r>
    <x v="173"/>
    <x v="6"/>
  </r>
  <r>
    <x v="174"/>
    <x v="6"/>
  </r>
  <r>
    <x v="175"/>
    <x v="6"/>
  </r>
  <r>
    <x v="176"/>
    <x v="6"/>
  </r>
  <r>
    <x v="177"/>
    <x v="6"/>
  </r>
  <r>
    <x v="178"/>
    <x v="6"/>
  </r>
  <r>
    <x v="179"/>
    <x v="6"/>
  </r>
  <r>
    <x v="180"/>
    <x v="6"/>
  </r>
  <r>
    <x v="181"/>
    <x v="6"/>
  </r>
  <r>
    <x v="182"/>
    <x v="6"/>
  </r>
  <r>
    <x v="183"/>
    <x v="6"/>
  </r>
  <r>
    <x v="184"/>
    <x v="6"/>
  </r>
  <r>
    <x v="185"/>
    <x v="6"/>
  </r>
  <r>
    <x v="185"/>
    <x v="6"/>
  </r>
  <r>
    <x v="186"/>
    <x v="6"/>
  </r>
  <r>
    <x v="187"/>
    <x v="6"/>
  </r>
  <r>
    <x v="188"/>
    <x v="6"/>
  </r>
  <r>
    <x v="189"/>
    <x v="6"/>
  </r>
  <r>
    <x v="190"/>
    <x v="6"/>
  </r>
  <r>
    <x v="191"/>
    <x v="6"/>
  </r>
  <r>
    <x v="192"/>
    <x v="6"/>
  </r>
  <r>
    <x v="193"/>
    <x v="6"/>
  </r>
  <r>
    <x v="194"/>
    <x v="6"/>
  </r>
  <r>
    <x v="195"/>
    <x v="6"/>
  </r>
  <r>
    <x v="196"/>
    <x v="6"/>
  </r>
  <r>
    <x v="197"/>
    <x v="6"/>
  </r>
  <r>
    <x v="198"/>
    <x v="6"/>
  </r>
  <r>
    <x v="199"/>
    <x v="6"/>
  </r>
  <r>
    <x v="200"/>
    <x v="6"/>
  </r>
  <r>
    <x v="201"/>
    <x v="6"/>
  </r>
  <r>
    <x v="202"/>
    <x v="6"/>
  </r>
  <r>
    <x v="203"/>
    <x v="14"/>
  </r>
  <r>
    <x v="204"/>
    <x v="15"/>
  </r>
  <r>
    <x v="205"/>
    <x v="15"/>
  </r>
  <r>
    <x v="206"/>
    <x v="16"/>
  </r>
  <r>
    <x v="207"/>
    <x v="16"/>
  </r>
  <r>
    <x v="208"/>
    <x v="16"/>
  </r>
  <r>
    <x v="209"/>
    <x v="16"/>
  </r>
  <r>
    <x v="210"/>
    <x v="16"/>
  </r>
  <r>
    <x v="211"/>
    <x v="16"/>
  </r>
  <r>
    <x v="212"/>
    <x v="16"/>
  </r>
  <r>
    <x v="213"/>
    <x v="16"/>
  </r>
  <r>
    <x v="214"/>
    <x v="17"/>
  </r>
  <r>
    <x v="215"/>
    <x v="17"/>
  </r>
  <r>
    <x v="216"/>
    <x v="18"/>
  </r>
  <r>
    <x v="217"/>
    <x v="18"/>
  </r>
  <r>
    <x v="218"/>
    <x v="18"/>
  </r>
  <r>
    <x v="219"/>
    <x v="18"/>
  </r>
  <r>
    <x v="219"/>
    <x v="18"/>
  </r>
  <r>
    <x v="220"/>
    <x v="18"/>
  </r>
  <r>
    <x v="221"/>
    <x v="18"/>
  </r>
  <r>
    <x v="222"/>
    <x v="18"/>
  </r>
  <r>
    <x v="223"/>
    <x v="18"/>
  </r>
  <r>
    <x v="224"/>
    <x v="18"/>
  </r>
  <r>
    <x v="225"/>
    <x v="18"/>
  </r>
  <r>
    <x v="226"/>
    <x v="18"/>
  </r>
  <r>
    <x v="227"/>
    <x v="18"/>
  </r>
  <r>
    <x v="228"/>
    <x v="18"/>
  </r>
  <r>
    <x v="229"/>
    <x v="18"/>
  </r>
  <r>
    <x v="230"/>
    <x v="18"/>
  </r>
  <r>
    <x v="231"/>
    <x v="18"/>
  </r>
  <r>
    <x v="232"/>
    <x v="18"/>
  </r>
  <r>
    <x v="233"/>
    <x v="18"/>
  </r>
  <r>
    <x v="234"/>
    <x v="18"/>
  </r>
  <r>
    <x v="235"/>
    <x v="18"/>
  </r>
  <r>
    <x v="236"/>
    <x v="18"/>
  </r>
  <r>
    <x v="236"/>
    <x v="18"/>
  </r>
  <r>
    <x v="237"/>
    <x v="18"/>
  </r>
  <r>
    <x v="238"/>
    <x v="18"/>
  </r>
  <r>
    <x v="239"/>
    <x v="18"/>
  </r>
  <r>
    <x v="240"/>
    <x v="18"/>
  </r>
  <r>
    <x v="241"/>
    <x v="18"/>
  </r>
  <r>
    <x v="242"/>
    <x v="18"/>
  </r>
  <r>
    <x v="243"/>
    <x v="19"/>
  </r>
  <r>
    <x v="244"/>
    <x v="19"/>
  </r>
  <r>
    <x v="245"/>
    <x v="19"/>
  </r>
  <r>
    <x v="245"/>
    <x v="19"/>
  </r>
  <r>
    <x v="246"/>
    <x v="19"/>
  </r>
  <r>
    <x v="247"/>
    <x v="19"/>
  </r>
  <r>
    <x v="248"/>
    <x v="20"/>
  </r>
  <r>
    <x v="249"/>
    <x v="20"/>
  </r>
  <r>
    <x v="250"/>
    <x v="21"/>
  </r>
  <r>
    <x v="251"/>
    <x v="21"/>
  </r>
  <r>
    <x v="252"/>
    <x v="21"/>
  </r>
  <r>
    <x v="253"/>
    <x v="21"/>
  </r>
  <r>
    <x v="253"/>
    <x v="21"/>
  </r>
  <r>
    <x v="254"/>
    <x v="21"/>
  </r>
  <r>
    <x v="255"/>
    <x v="21"/>
  </r>
  <r>
    <x v="256"/>
    <x v="21"/>
  </r>
  <r>
    <x v="257"/>
    <x v="21"/>
  </r>
  <r>
    <x v="258"/>
    <x v="21"/>
  </r>
  <r>
    <x v="259"/>
    <x v="21"/>
  </r>
  <r>
    <x v="260"/>
    <x v="21"/>
  </r>
  <r>
    <x v="261"/>
    <x v="21"/>
  </r>
  <r>
    <x v="262"/>
    <x v="21"/>
  </r>
  <r>
    <x v="263"/>
    <x v="21"/>
  </r>
  <r>
    <x v="264"/>
    <x v="21"/>
  </r>
  <r>
    <x v="265"/>
    <x v="21"/>
  </r>
  <r>
    <x v="266"/>
    <x v="21"/>
  </r>
  <r>
    <x v="267"/>
    <x v="21"/>
  </r>
  <r>
    <x v="268"/>
    <x v="21"/>
  </r>
  <r>
    <x v="269"/>
    <x v="21"/>
  </r>
  <r>
    <x v="270"/>
    <x v="21"/>
  </r>
  <r>
    <x v="271"/>
    <x v="22"/>
  </r>
  <r>
    <x v="272"/>
    <x v="22"/>
  </r>
  <r>
    <x v="273"/>
    <x v="23"/>
  </r>
  <r>
    <x v="274"/>
    <x v="23"/>
  </r>
  <r>
    <x v="275"/>
    <x v="23"/>
  </r>
  <r>
    <x v="276"/>
    <x v="23"/>
  </r>
  <r>
    <x v="277"/>
    <x v="23"/>
  </r>
  <r>
    <x v="278"/>
    <x v="23"/>
  </r>
  <r>
    <x v="279"/>
    <x v="23"/>
  </r>
  <r>
    <x v="280"/>
    <x v="23"/>
  </r>
  <r>
    <x v="281"/>
    <x v="23"/>
  </r>
  <r>
    <x v="282"/>
    <x v="23"/>
  </r>
  <r>
    <x v="283"/>
    <x v="23"/>
  </r>
  <r>
    <x v="284"/>
    <x v="23"/>
  </r>
  <r>
    <x v="285"/>
    <x v="23"/>
  </r>
  <r>
    <x v="286"/>
    <x v="23"/>
  </r>
  <r>
    <x v="286"/>
    <x v="23"/>
  </r>
  <r>
    <x v="287"/>
    <x v="23"/>
  </r>
  <r>
    <x v="288"/>
    <x v="23"/>
  </r>
  <r>
    <x v="289"/>
    <x v="23"/>
  </r>
  <r>
    <x v="290"/>
    <x v="23"/>
  </r>
  <r>
    <x v="291"/>
    <x v="23"/>
  </r>
  <r>
    <x v="292"/>
    <x v="23"/>
  </r>
  <r>
    <x v="293"/>
    <x v="23"/>
  </r>
  <r>
    <x v="294"/>
    <x v="23"/>
  </r>
  <r>
    <x v="295"/>
    <x v="23"/>
  </r>
  <r>
    <x v="296"/>
    <x v="23"/>
  </r>
  <r>
    <x v="297"/>
    <x v="23"/>
  </r>
  <r>
    <x v="298"/>
    <x v="23"/>
  </r>
  <r>
    <x v="299"/>
    <x v="23"/>
  </r>
  <r>
    <x v="300"/>
    <x v="24"/>
  </r>
  <r>
    <x v="301"/>
    <x v="24"/>
  </r>
  <r>
    <x v="302"/>
    <x v="24"/>
  </r>
  <r>
    <x v="303"/>
    <x v="24"/>
  </r>
  <r>
    <x v="304"/>
    <x v="24"/>
  </r>
  <r>
    <x v="305"/>
    <x v="24"/>
  </r>
  <r>
    <x v="306"/>
    <x v="24"/>
  </r>
  <r>
    <x v="307"/>
    <x v="24"/>
  </r>
  <r>
    <x v="308"/>
    <x v="24"/>
  </r>
  <r>
    <x v="309"/>
    <x v="24"/>
  </r>
  <r>
    <x v="310"/>
    <x v="24"/>
  </r>
  <r>
    <x v="311"/>
    <x v="24"/>
  </r>
  <r>
    <x v="312"/>
    <x v="24"/>
  </r>
  <r>
    <x v="313"/>
    <x v="24"/>
  </r>
  <r>
    <x v="314"/>
    <x v="24"/>
  </r>
  <r>
    <x v="315"/>
    <x v="24"/>
  </r>
  <r>
    <x v="316"/>
    <x v="24"/>
  </r>
  <r>
    <x v="317"/>
    <x v="24"/>
  </r>
  <r>
    <x v="318"/>
    <x v="24"/>
  </r>
  <r>
    <x v="319"/>
    <x v="24"/>
  </r>
  <r>
    <x v="320"/>
    <x v="24"/>
  </r>
  <r>
    <x v="321"/>
    <x v="24"/>
  </r>
  <r>
    <x v="321"/>
    <x v="24"/>
  </r>
  <r>
    <x v="322"/>
    <x v="24"/>
  </r>
  <r>
    <x v="323"/>
    <x v="24"/>
  </r>
  <r>
    <x v="324"/>
    <x v="24"/>
  </r>
  <r>
    <x v="325"/>
    <x v="24"/>
  </r>
  <r>
    <x v="326"/>
    <x v="24"/>
  </r>
  <r>
    <x v="326"/>
    <x v="24"/>
  </r>
  <r>
    <x v="327"/>
    <x v="24"/>
  </r>
  <r>
    <x v="328"/>
    <x v="24"/>
  </r>
  <r>
    <x v="329"/>
    <x v="24"/>
  </r>
  <r>
    <x v="329"/>
    <x v="24"/>
  </r>
  <r>
    <x v="330"/>
    <x v="24"/>
  </r>
  <r>
    <x v="331"/>
    <x v="24"/>
  </r>
  <r>
    <x v="332"/>
    <x v="24"/>
  </r>
  <r>
    <x v="333"/>
    <x v="24"/>
  </r>
  <r>
    <x v="334"/>
    <x v="24"/>
  </r>
  <r>
    <x v="334"/>
    <x v="24"/>
  </r>
  <r>
    <x v="335"/>
    <x v="24"/>
  </r>
  <r>
    <x v="335"/>
    <x v="24"/>
  </r>
  <r>
    <x v="336"/>
    <x v="24"/>
  </r>
  <r>
    <x v="337"/>
    <x v="24"/>
  </r>
  <r>
    <x v="338"/>
    <x v="24"/>
  </r>
  <r>
    <x v="339"/>
    <x v="24"/>
  </r>
  <r>
    <x v="340"/>
    <x v="24"/>
  </r>
  <r>
    <x v="341"/>
    <x v="24"/>
  </r>
  <r>
    <x v="342"/>
    <x v="24"/>
  </r>
  <r>
    <x v="343"/>
    <x v="24"/>
  </r>
  <r>
    <x v="343"/>
    <x v="24"/>
  </r>
  <r>
    <x v="344"/>
    <x v="24"/>
  </r>
  <r>
    <x v="345"/>
    <x v="24"/>
  </r>
  <r>
    <x v="346"/>
    <x v="24"/>
  </r>
  <r>
    <x v="347"/>
    <x v="24"/>
  </r>
  <r>
    <x v="348"/>
    <x v="24"/>
  </r>
  <r>
    <x v="349"/>
    <x v="24"/>
  </r>
  <r>
    <x v="350"/>
    <x v="24"/>
  </r>
  <r>
    <x v="350"/>
    <x v="24"/>
  </r>
  <r>
    <x v="351"/>
    <x v="24"/>
  </r>
  <r>
    <x v="352"/>
    <x v="24"/>
  </r>
  <r>
    <x v="353"/>
    <x v="24"/>
  </r>
  <r>
    <x v="354"/>
    <x v="24"/>
  </r>
  <r>
    <x v="354"/>
    <x v="24"/>
  </r>
  <r>
    <x v="355"/>
    <x v="24"/>
  </r>
  <r>
    <x v="355"/>
    <x v="24"/>
  </r>
  <r>
    <x v="356"/>
    <x v="24"/>
  </r>
  <r>
    <x v="357"/>
    <x v="24"/>
  </r>
  <r>
    <x v="357"/>
    <x v="24"/>
  </r>
  <r>
    <x v="358"/>
    <x v="24"/>
  </r>
  <r>
    <x v="359"/>
    <x v="24"/>
  </r>
  <r>
    <x v="360"/>
    <x v="24"/>
  </r>
  <r>
    <x v="361"/>
    <x v="25"/>
  </r>
  <r>
    <x v="362"/>
    <x v="25"/>
  </r>
  <r>
    <x v="363"/>
    <x v="25"/>
  </r>
  <r>
    <x v="364"/>
    <x v="25"/>
  </r>
  <r>
    <x v="365"/>
    <x v="25"/>
  </r>
  <r>
    <x v="366"/>
    <x v="25"/>
  </r>
  <r>
    <x v="367"/>
    <x v="25"/>
  </r>
  <r>
    <x v="368"/>
    <x v="25"/>
  </r>
  <r>
    <x v="369"/>
    <x v="25"/>
  </r>
  <r>
    <x v="370"/>
    <x v="25"/>
  </r>
  <r>
    <x v="371"/>
    <x v="25"/>
  </r>
  <r>
    <x v="372"/>
    <x v="25"/>
  </r>
  <r>
    <x v="373"/>
    <x v="25"/>
  </r>
  <r>
    <x v="374"/>
    <x v="25"/>
  </r>
  <r>
    <x v="375"/>
    <x v="25"/>
  </r>
  <r>
    <x v="376"/>
    <x v="25"/>
  </r>
  <r>
    <x v="377"/>
    <x v="25"/>
  </r>
  <r>
    <x v="378"/>
    <x v="25"/>
  </r>
  <r>
    <x v="379"/>
    <x v="25"/>
  </r>
  <r>
    <x v="380"/>
    <x v="25"/>
  </r>
  <r>
    <x v="381"/>
    <x v="25"/>
  </r>
  <r>
    <x v="382"/>
    <x v="25"/>
  </r>
  <r>
    <x v="383"/>
    <x v="7"/>
  </r>
  <r>
    <x v="383"/>
    <x v="7"/>
  </r>
  <r>
    <x v="384"/>
    <x v="7"/>
  </r>
  <r>
    <x v="385"/>
    <x v="7"/>
  </r>
  <r>
    <x v="386"/>
    <x v="7"/>
  </r>
  <r>
    <x v="387"/>
    <x v="7"/>
  </r>
  <r>
    <x v="387"/>
    <x v="7"/>
  </r>
  <r>
    <x v="388"/>
    <x v="7"/>
  </r>
  <r>
    <x v="389"/>
    <x v="7"/>
  </r>
  <r>
    <x v="390"/>
    <x v="7"/>
  </r>
  <r>
    <x v="391"/>
    <x v="7"/>
  </r>
  <r>
    <x v="392"/>
    <x v="7"/>
  </r>
  <r>
    <x v="393"/>
    <x v="7"/>
  </r>
  <r>
    <x v="393"/>
    <x v="7"/>
  </r>
  <r>
    <x v="394"/>
    <x v="7"/>
  </r>
  <r>
    <x v="395"/>
    <x v="7"/>
  </r>
  <r>
    <x v="396"/>
    <x v="7"/>
  </r>
  <r>
    <x v="397"/>
    <x v="7"/>
  </r>
  <r>
    <x v="398"/>
    <x v="7"/>
  </r>
  <r>
    <x v="399"/>
    <x v="7"/>
  </r>
  <r>
    <x v="400"/>
    <x v="7"/>
  </r>
  <r>
    <x v="401"/>
    <x v="7"/>
  </r>
  <r>
    <x v="402"/>
    <x v="7"/>
  </r>
  <r>
    <x v="403"/>
    <x v="7"/>
  </r>
  <r>
    <x v="404"/>
    <x v="7"/>
  </r>
  <r>
    <x v="405"/>
    <x v="7"/>
  </r>
  <r>
    <x v="406"/>
    <x v="7"/>
  </r>
  <r>
    <x v="407"/>
    <x v="7"/>
  </r>
  <r>
    <x v="408"/>
    <x v="7"/>
  </r>
  <r>
    <x v="409"/>
    <x v="7"/>
  </r>
  <r>
    <x v="410"/>
    <x v="7"/>
  </r>
  <r>
    <x v="411"/>
    <x v="7"/>
  </r>
  <r>
    <x v="412"/>
    <x v="7"/>
  </r>
  <r>
    <x v="413"/>
    <x v="7"/>
  </r>
  <r>
    <x v="414"/>
    <x v="7"/>
  </r>
  <r>
    <x v="415"/>
    <x v="7"/>
  </r>
  <r>
    <x v="416"/>
    <x v="7"/>
  </r>
  <r>
    <x v="417"/>
    <x v="7"/>
  </r>
  <r>
    <x v="418"/>
    <x v="7"/>
  </r>
  <r>
    <x v="419"/>
    <x v="7"/>
  </r>
  <r>
    <x v="420"/>
    <x v="7"/>
  </r>
  <r>
    <x v="421"/>
    <x v="7"/>
  </r>
  <r>
    <x v="422"/>
    <x v="7"/>
  </r>
  <r>
    <x v="423"/>
    <x v="7"/>
  </r>
  <r>
    <x v="424"/>
    <x v="7"/>
  </r>
  <r>
    <x v="425"/>
    <x v="7"/>
  </r>
  <r>
    <x v="426"/>
    <x v="7"/>
  </r>
  <r>
    <x v="427"/>
    <x v="7"/>
  </r>
  <r>
    <x v="428"/>
    <x v="7"/>
  </r>
  <r>
    <x v="429"/>
    <x v="7"/>
  </r>
  <r>
    <x v="430"/>
    <x v="7"/>
  </r>
  <r>
    <x v="431"/>
    <x v="7"/>
  </r>
  <r>
    <x v="432"/>
    <x v="7"/>
  </r>
  <r>
    <x v="433"/>
    <x v="7"/>
  </r>
  <r>
    <x v="434"/>
    <x v="7"/>
  </r>
  <r>
    <x v="435"/>
    <x v="7"/>
  </r>
  <r>
    <x v="436"/>
    <x v="7"/>
  </r>
  <r>
    <x v="437"/>
    <x v="7"/>
  </r>
  <r>
    <x v="438"/>
    <x v="7"/>
  </r>
  <r>
    <x v="439"/>
    <x v="7"/>
  </r>
  <r>
    <x v="439"/>
    <x v="7"/>
  </r>
  <r>
    <x v="440"/>
    <x v="7"/>
  </r>
  <r>
    <x v="440"/>
    <x v="7"/>
  </r>
  <r>
    <x v="441"/>
    <x v="7"/>
  </r>
  <r>
    <x v="442"/>
    <x v="7"/>
  </r>
  <r>
    <x v="443"/>
    <x v="7"/>
  </r>
  <r>
    <x v="444"/>
    <x v="7"/>
  </r>
  <r>
    <x v="445"/>
    <x v="7"/>
  </r>
  <r>
    <x v="446"/>
    <x v="7"/>
  </r>
  <r>
    <x v="447"/>
    <x v="7"/>
  </r>
  <r>
    <x v="448"/>
    <x v="7"/>
  </r>
  <r>
    <x v="449"/>
    <x v="7"/>
  </r>
  <r>
    <x v="450"/>
    <x v="7"/>
  </r>
  <r>
    <x v="451"/>
    <x v="7"/>
  </r>
  <r>
    <x v="452"/>
    <x v="7"/>
  </r>
  <r>
    <x v="453"/>
    <x v="7"/>
  </r>
  <r>
    <x v="454"/>
    <x v="7"/>
  </r>
  <r>
    <x v="455"/>
    <x v="7"/>
  </r>
  <r>
    <x v="456"/>
    <x v="7"/>
  </r>
  <r>
    <x v="457"/>
    <x v="7"/>
  </r>
  <r>
    <x v="457"/>
    <x v="7"/>
  </r>
  <r>
    <x v="458"/>
    <x v="7"/>
  </r>
  <r>
    <x v="459"/>
    <x v="7"/>
  </r>
  <r>
    <x v="460"/>
    <x v="7"/>
  </r>
  <r>
    <x v="461"/>
    <x v="7"/>
  </r>
  <r>
    <x v="462"/>
    <x v="7"/>
  </r>
  <r>
    <x v="463"/>
    <x v="7"/>
  </r>
  <r>
    <x v="464"/>
    <x v="7"/>
  </r>
  <r>
    <x v="465"/>
    <x v="7"/>
  </r>
  <r>
    <x v="465"/>
    <x v="7"/>
  </r>
  <r>
    <x v="466"/>
    <x v="7"/>
  </r>
  <r>
    <x v="467"/>
    <x v="7"/>
  </r>
  <r>
    <x v="468"/>
    <x v="7"/>
  </r>
  <r>
    <x v="469"/>
    <x v="7"/>
  </r>
  <r>
    <x v="470"/>
    <x v="7"/>
  </r>
  <r>
    <x v="471"/>
    <x v="7"/>
  </r>
  <r>
    <x v="472"/>
    <x v="7"/>
  </r>
  <r>
    <x v="473"/>
    <x v="7"/>
  </r>
  <r>
    <x v="474"/>
    <x v="7"/>
  </r>
  <r>
    <x v="475"/>
    <x v="7"/>
  </r>
  <r>
    <x v="476"/>
    <x v="7"/>
  </r>
  <r>
    <x v="477"/>
    <x v="7"/>
  </r>
  <r>
    <x v="478"/>
    <x v="7"/>
  </r>
  <r>
    <x v="479"/>
    <x v="7"/>
  </r>
  <r>
    <x v="480"/>
    <x v="7"/>
  </r>
  <r>
    <x v="481"/>
    <x v="7"/>
  </r>
  <r>
    <x v="482"/>
    <x v="7"/>
  </r>
  <r>
    <x v="483"/>
    <x v="3"/>
  </r>
  <r>
    <x v="484"/>
    <x v="3"/>
  </r>
  <r>
    <x v="485"/>
    <x v="3"/>
  </r>
  <r>
    <x v="486"/>
    <x v="3"/>
  </r>
  <r>
    <x v="487"/>
    <x v="3"/>
  </r>
  <r>
    <x v="488"/>
    <x v="3"/>
  </r>
  <r>
    <x v="489"/>
    <x v="3"/>
  </r>
  <r>
    <x v="490"/>
    <x v="3"/>
  </r>
  <r>
    <x v="491"/>
    <x v="3"/>
  </r>
  <r>
    <x v="492"/>
    <x v="3"/>
  </r>
  <r>
    <x v="493"/>
    <x v="3"/>
  </r>
  <r>
    <x v="494"/>
    <x v="3"/>
  </r>
  <r>
    <x v="495"/>
    <x v="3"/>
  </r>
  <r>
    <x v="496"/>
    <x v="3"/>
  </r>
  <r>
    <x v="497"/>
    <x v="3"/>
  </r>
  <r>
    <x v="498"/>
    <x v="3"/>
  </r>
  <r>
    <x v="498"/>
    <x v="3"/>
  </r>
  <r>
    <x v="499"/>
    <x v="3"/>
  </r>
  <r>
    <x v="500"/>
    <x v="3"/>
  </r>
  <r>
    <x v="501"/>
    <x v="3"/>
  </r>
  <r>
    <x v="502"/>
    <x v="3"/>
  </r>
  <r>
    <x v="503"/>
    <x v="3"/>
  </r>
  <r>
    <x v="504"/>
    <x v="3"/>
  </r>
  <r>
    <x v="505"/>
    <x v="3"/>
  </r>
  <r>
    <x v="505"/>
    <x v="3"/>
  </r>
  <r>
    <x v="506"/>
    <x v="3"/>
  </r>
  <r>
    <x v="507"/>
    <x v="3"/>
  </r>
  <r>
    <x v="508"/>
    <x v="3"/>
  </r>
  <r>
    <x v="509"/>
    <x v="3"/>
  </r>
  <r>
    <x v="510"/>
    <x v="3"/>
  </r>
  <r>
    <x v="511"/>
    <x v="3"/>
  </r>
  <r>
    <x v="511"/>
    <x v="3"/>
  </r>
  <r>
    <x v="512"/>
    <x v="3"/>
  </r>
  <r>
    <x v="513"/>
    <x v="3"/>
  </r>
  <r>
    <x v="514"/>
    <x v="3"/>
  </r>
  <r>
    <x v="515"/>
    <x v="3"/>
  </r>
  <r>
    <x v="516"/>
    <x v="3"/>
  </r>
  <r>
    <x v="517"/>
    <x v="3"/>
  </r>
  <r>
    <x v="518"/>
    <x v="3"/>
  </r>
  <r>
    <x v="519"/>
    <x v="3"/>
  </r>
  <r>
    <x v="520"/>
    <x v="3"/>
  </r>
  <r>
    <x v="521"/>
    <x v="3"/>
  </r>
  <r>
    <x v="522"/>
    <x v="3"/>
  </r>
  <r>
    <x v="523"/>
    <x v="3"/>
  </r>
  <r>
    <x v="524"/>
    <x v="3"/>
  </r>
  <r>
    <x v="525"/>
    <x v="3"/>
  </r>
  <r>
    <x v="526"/>
    <x v="3"/>
  </r>
  <r>
    <x v="527"/>
    <x v="3"/>
  </r>
  <r>
    <x v="528"/>
    <x v="3"/>
  </r>
  <r>
    <x v="529"/>
    <x v="3"/>
  </r>
  <r>
    <x v="530"/>
    <x v="3"/>
  </r>
  <r>
    <x v="531"/>
    <x v="3"/>
  </r>
  <r>
    <x v="532"/>
    <x v="3"/>
  </r>
  <r>
    <x v="533"/>
    <x v="3"/>
  </r>
  <r>
    <x v="534"/>
    <x v="3"/>
  </r>
  <r>
    <x v="535"/>
    <x v="3"/>
  </r>
  <r>
    <x v="536"/>
    <x v="3"/>
  </r>
  <r>
    <x v="537"/>
    <x v="3"/>
  </r>
  <r>
    <x v="538"/>
    <x v="3"/>
  </r>
  <r>
    <x v="539"/>
    <x v="3"/>
  </r>
  <r>
    <x v="540"/>
    <x v="3"/>
  </r>
  <r>
    <x v="540"/>
    <x v="3"/>
  </r>
  <r>
    <x v="540"/>
    <x v="3"/>
  </r>
  <r>
    <x v="540"/>
    <x v="3"/>
  </r>
  <r>
    <x v="541"/>
    <x v="3"/>
  </r>
  <r>
    <x v="542"/>
    <x v="3"/>
  </r>
  <r>
    <x v="543"/>
    <x v="3"/>
  </r>
  <r>
    <x v="543"/>
    <x v="3"/>
  </r>
  <r>
    <x v="544"/>
    <x v="3"/>
  </r>
  <r>
    <x v="545"/>
    <x v="3"/>
  </r>
  <r>
    <x v="546"/>
    <x v="3"/>
  </r>
  <r>
    <x v="547"/>
    <x v="3"/>
  </r>
  <r>
    <x v="548"/>
    <x v="3"/>
  </r>
  <r>
    <x v="549"/>
    <x v="3"/>
  </r>
  <r>
    <x v="549"/>
    <x v="3"/>
  </r>
  <r>
    <x v="550"/>
    <x v="3"/>
  </r>
  <r>
    <x v="551"/>
    <x v="3"/>
  </r>
  <r>
    <x v="552"/>
    <x v="3"/>
  </r>
  <r>
    <x v="552"/>
    <x v="3"/>
  </r>
  <r>
    <x v="553"/>
    <x v="3"/>
  </r>
  <r>
    <x v="554"/>
    <x v="3"/>
  </r>
  <r>
    <x v="555"/>
    <x v="3"/>
  </r>
  <r>
    <x v="556"/>
    <x v="3"/>
  </r>
  <r>
    <x v="557"/>
    <x v="3"/>
  </r>
  <r>
    <x v="558"/>
    <x v="3"/>
  </r>
  <r>
    <x v="559"/>
    <x v="3"/>
  </r>
  <r>
    <x v="560"/>
    <x v="3"/>
  </r>
  <r>
    <x v="560"/>
    <x v="3"/>
  </r>
  <r>
    <x v="561"/>
    <x v="3"/>
  </r>
  <r>
    <x v="562"/>
    <x v="3"/>
  </r>
  <r>
    <x v="563"/>
    <x v="3"/>
  </r>
  <r>
    <x v="564"/>
    <x v="3"/>
  </r>
  <r>
    <x v="565"/>
    <x v="3"/>
  </r>
  <r>
    <x v="566"/>
    <x v="3"/>
  </r>
  <r>
    <x v="567"/>
    <x v="3"/>
  </r>
  <r>
    <x v="568"/>
    <x v="3"/>
  </r>
  <r>
    <x v="569"/>
    <x v="3"/>
  </r>
  <r>
    <x v="570"/>
    <x v="3"/>
  </r>
  <r>
    <x v="571"/>
    <x v="3"/>
  </r>
  <r>
    <x v="572"/>
    <x v="3"/>
  </r>
  <r>
    <x v="573"/>
    <x v="3"/>
  </r>
  <r>
    <x v="574"/>
    <x v="3"/>
  </r>
  <r>
    <x v="575"/>
    <x v="3"/>
  </r>
  <r>
    <x v="576"/>
    <x v="3"/>
  </r>
  <r>
    <x v="576"/>
    <x v="3"/>
  </r>
  <r>
    <x v="577"/>
    <x v="3"/>
  </r>
  <r>
    <x v="578"/>
    <x v="3"/>
  </r>
  <r>
    <x v="579"/>
    <x v="3"/>
  </r>
  <r>
    <x v="580"/>
    <x v="3"/>
  </r>
  <r>
    <x v="581"/>
    <x v="3"/>
  </r>
  <r>
    <x v="582"/>
    <x v="3"/>
  </r>
  <r>
    <x v="583"/>
    <x v="3"/>
  </r>
  <r>
    <x v="584"/>
    <x v="3"/>
  </r>
  <r>
    <x v="585"/>
    <x v="3"/>
  </r>
  <r>
    <x v="585"/>
    <x v="3"/>
  </r>
  <r>
    <x v="586"/>
    <x v="3"/>
  </r>
  <r>
    <x v="587"/>
    <x v="3"/>
  </r>
  <r>
    <x v="588"/>
    <x v="3"/>
  </r>
  <r>
    <x v="588"/>
    <x v="3"/>
  </r>
  <r>
    <x v="589"/>
    <x v="3"/>
  </r>
  <r>
    <x v="589"/>
    <x v="3"/>
  </r>
  <r>
    <x v="590"/>
    <x v="3"/>
  </r>
  <r>
    <x v="591"/>
    <x v="3"/>
  </r>
  <r>
    <x v="592"/>
    <x v="3"/>
  </r>
  <r>
    <x v="593"/>
    <x v="3"/>
  </r>
  <r>
    <x v="594"/>
    <x v="3"/>
  </r>
  <r>
    <x v="595"/>
    <x v="3"/>
  </r>
  <r>
    <x v="596"/>
    <x v="3"/>
  </r>
  <r>
    <x v="597"/>
    <x v="3"/>
  </r>
  <r>
    <x v="598"/>
    <x v="3"/>
  </r>
  <r>
    <x v="599"/>
    <x v="3"/>
  </r>
  <r>
    <x v="600"/>
    <x v="3"/>
  </r>
  <r>
    <x v="601"/>
    <x v="3"/>
  </r>
  <r>
    <x v="602"/>
    <x v="3"/>
  </r>
  <r>
    <x v="603"/>
    <x v="3"/>
  </r>
  <r>
    <x v="604"/>
    <x v="3"/>
  </r>
  <r>
    <x v="604"/>
    <x v="3"/>
  </r>
  <r>
    <x v="605"/>
    <x v="3"/>
  </r>
  <r>
    <x v="606"/>
    <x v="3"/>
  </r>
  <r>
    <x v="607"/>
    <x v="3"/>
  </r>
  <r>
    <x v="608"/>
    <x v="3"/>
  </r>
  <r>
    <x v="609"/>
    <x v="3"/>
  </r>
  <r>
    <x v="610"/>
    <x v="3"/>
  </r>
  <r>
    <x v="610"/>
    <x v="3"/>
  </r>
  <r>
    <x v="611"/>
    <x v="3"/>
  </r>
  <r>
    <x v="612"/>
    <x v="3"/>
  </r>
  <r>
    <x v="613"/>
    <x v="3"/>
  </r>
  <r>
    <x v="614"/>
    <x v="3"/>
  </r>
  <r>
    <x v="615"/>
    <x v="3"/>
  </r>
  <r>
    <x v="616"/>
    <x v="3"/>
  </r>
  <r>
    <x v="617"/>
    <x v="3"/>
  </r>
  <r>
    <x v="618"/>
    <x v="3"/>
  </r>
  <r>
    <x v="618"/>
    <x v="3"/>
  </r>
  <r>
    <x v="619"/>
    <x v="3"/>
  </r>
  <r>
    <x v="620"/>
    <x v="3"/>
  </r>
  <r>
    <x v="621"/>
    <x v="3"/>
  </r>
  <r>
    <x v="622"/>
    <x v="3"/>
  </r>
  <r>
    <x v="623"/>
    <x v="3"/>
  </r>
  <r>
    <x v="624"/>
    <x v="3"/>
  </r>
  <r>
    <x v="624"/>
    <x v="3"/>
  </r>
  <r>
    <x v="625"/>
    <x v="3"/>
  </r>
  <r>
    <x v="625"/>
    <x v="3"/>
  </r>
  <r>
    <x v="626"/>
    <x v="3"/>
  </r>
  <r>
    <x v="626"/>
    <x v="3"/>
  </r>
  <r>
    <x v="627"/>
    <x v="3"/>
  </r>
  <r>
    <x v="627"/>
    <x v="3"/>
  </r>
  <r>
    <x v="628"/>
    <x v="3"/>
  </r>
  <r>
    <x v="629"/>
    <x v="3"/>
  </r>
  <r>
    <x v="630"/>
    <x v="3"/>
  </r>
  <r>
    <x v="631"/>
    <x v="3"/>
  </r>
  <r>
    <x v="632"/>
    <x v="3"/>
  </r>
  <r>
    <x v="633"/>
    <x v="3"/>
  </r>
  <r>
    <x v="634"/>
    <x v="3"/>
  </r>
  <r>
    <x v="635"/>
    <x v="3"/>
  </r>
  <r>
    <x v="636"/>
    <x v="3"/>
  </r>
  <r>
    <x v="637"/>
    <x v="3"/>
  </r>
  <r>
    <x v="638"/>
    <x v="3"/>
  </r>
  <r>
    <x v="639"/>
    <x v="3"/>
  </r>
  <r>
    <x v="640"/>
    <x v="3"/>
  </r>
  <r>
    <x v="641"/>
    <x v="3"/>
  </r>
  <r>
    <x v="642"/>
    <x v="3"/>
  </r>
  <r>
    <x v="642"/>
    <x v="3"/>
  </r>
  <r>
    <x v="643"/>
    <x v="3"/>
  </r>
  <r>
    <x v="644"/>
    <x v="3"/>
  </r>
  <r>
    <x v="645"/>
    <x v="3"/>
  </r>
  <r>
    <x v="646"/>
    <x v="3"/>
  </r>
  <r>
    <x v="647"/>
    <x v="3"/>
  </r>
  <r>
    <x v="648"/>
    <x v="3"/>
  </r>
  <r>
    <x v="649"/>
    <x v="3"/>
  </r>
  <r>
    <x v="650"/>
    <x v="3"/>
  </r>
  <r>
    <x v="651"/>
    <x v="3"/>
  </r>
  <r>
    <x v="652"/>
    <x v="3"/>
  </r>
  <r>
    <x v="653"/>
    <x v="3"/>
  </r>
  <r>
    <x v="654"/>
    <x v="3"/>
  </r>
  <r>
    <x v="655"/>
    <x v="3"/>
  </r>
  <r>
    <x v="656"/>
    <x v="3"/>
  </r>
  <r>
    <x v="657"/>
    <x v="3"/>
  </r>
  <r>
    <x v="658"/>
    <x v="3"/>
  </r>
  <r>
    <x v="659"/>
    <x v="3"/>
  </r>
  <r>
    <x v="660"/>
    <x v="3"/>
  </r>
  <r>
    <x v="661"/>
    <x v="3"/>
  </r>
  <r>
    <x v="661"/>
    <x v="3"/>
  </r>
  <r>
    <x v="662"/>
    <x v="3"/>
  </r>
  <r>
    <x v="663"/>
    <x v="3"/>
  </r>
  <r>
    <x v="664"/>
    <x v="3"/>
  </r>
  <r>
    <x v="665"/>
    <x v="3"/>
  </r>
  <r>
    <x v="666"/>
    <x v="3"/>
  </r>
  <r>
    <x v="667"/>
    <x v="3"/>
  </r>
  <r>
    <x v="667"/>
    <x v="3"/>
  </r>
  <r>
    <x v="668"/>
    <x v="3"/>
  </r>
  <r>
    <x v="669"/>
    <x v="3"/>
  </r>
  <r>
    <x v="670"/>
    <x v="3"/>
  </r>
  <r>
    <x v="671"/>
    <x v="3"/>
  </r>
  <r>
    <x v="672"/>
    <x v="3"/>
  </r>
  <r>
    <x v="673"/>
    <x v="3"/>
  </r>
  <r>
    <x v="674"/>
    <x v="3"/>
  </r>
  <r>
    <x v="675"/>
    <x v="3"/>
  </r>
  <r>
    <x v="675"/>
    <x v="3"/>
  </r>
  <r>
    <x v="676"/>
    <x v="3"/>
  </r>
  <r>
    <x v="677"/>
    <x v="3"/>
  </r>
  <r>
    <x v="678"/>
    <x v="3"/>
  </r>
  <r>
    <x v="679"/>
    <x v="3"/>
  </r>
  <r>
    <x v="679"/>
    <x v="3"/>
  </r>
  <r>
    <x v="680"/>
    <x v="3"/>
  </r>
  <r>
    <x v="681"/>
    <x v="3"/>
  </r>
  <r>
    <x v="682"/>
    <x v="3"/>
  </r>
  <r>
    <x v="683"/>
    <x v="3"/>
  </r>
  <r>
    <x v="684"/>
    <x v="3"/>
  </r>
  <r>
    <x v="685"/>
    <x v="3"/>
  </r>
  <r>
    <x v="686"/>
    <x v="3"/>
  </r>
  <r>
    <x v="687"/>
    <x v="3"/>
  </r>
  <r>
    <x v="688"/>
    <x v="3"/>
  </r>
  <r>
    <x v="689"/>
    <x v="3"/>
  </r>
  <r>
    <x v="690"/>
    <x v="3"/>
  </r>
  <r>
    <x v="691"/>
    <x v="3"/>
  </r>
  <r>
    <x v="692"/>
    <x v="3"/>
  </r>
  <r>
    <x v="693"/>
    <x v="3"/>
  </r>
  <r>
    <x v="694"/>
    <x v="3"/>
  </r>
  <r>
    <x v="695"/>
    <x v="3"/>
  </r>
  <r>
    <x v="696"/>
    <x v="3"/>
  </r>
  <r>
    <x v="697"/>
    <x v="3"/>
  </r>
  <r>
    <x v="698"/>
    <x v="3"/>
  </r>
  <r>
    <x v="699"/>
    <x v="3"/>
  </r>
  <r>
    <x v="700"/>
    <x v="3"/>
  </r>
  <r>
    <x v="700"/>
    <x v="3"/>
  </r>
  <r>
    <x v="700"/>
    <x v="3"/>
  </r>
  <r>
    <x v="701"/>
    <x v="3"/>
  </r>
  <r>
    <x v="702"/>
    <x v="3"/>
  </r>
  <r>
    <x v="703"/>
    <x v="3"/>
  </r>
  <r>
    <x v="704"/>
    <x v="3"/>
  </r>
  <r>
    <x v="705"/>
    <x v="3"/>
  </r>
  <r>
    <x v="706"/>
    <x v="3"/>
  </r>
  <r>
    <x v="707"/>
    <x v="3"/>
  </r>
  <r>
    <x v="708"/>
    <x v="3"/>
  </r>
  <r>
    <x v="709"/>
    <x v="3"/>
  </r>
  <r>
    <x v="709"/>
    <x v="3"/>
  </r>
  <r>
    <x v="710"/>
    <x v="3"/>
  </r>
  <r>
    <x v="711"/>
    <x v="3"/>
  </r>
  <r>
    <x v="712"/>
    <x v="3"/>
  </r>
  <r>
    <x v="713"/>
    <x v="3"/>
  </r>
  <r>
    <x v="714"/>
    <x v="3"/>
  </r>
  <r>
    <x v="715"/>
    <x v="3"/>
  </r>
  <r>
    <x v="716"/>
    <x v="3"/>
  </r>
  <r>
    <x v="717"/>
    <x v="3"/>
  </r>
  <r>
    <x v="718"/>
    <x v="3"/>
  </r>
  <r>
    <x v="719"/>
    <x v="3"/>
  </r>
  <r>
    <x v="720"/>
    <x v="3"/>
  </r>
  <r>
    <x v="721"/>
    <x v="3"/>
  </r>
  <r>
    <x v="722"/>
    <x v="3"/>
  </r>
  <r>
    <x v="723"/>
    <x v="3"/>
  </r>
  <r>
    <x v="724"/>
    <x v="3"/>
  </r>
  <r>
    <x v="725"/>
    <x v="3"/>
  </r>
  <r>
    <x v="726"/>
    <x v="3"/>
  </r>
  <r>
    <x v="727"/>
    <x v="3"/>
  </r>
  <r>
    <x v="728"/>
    <x v="3"/>
  </r>
  <r>
    <x v="729"/>
    <x v="3"/>
  </r>
  <r>
    <x v="730"/>
    <x v="3"/>
  </r>
  <r>
    <x v="731"/>
    <x v="3"/>
  </r>
  <r>
    <x v="732"/>
    <x v="3"/>
  </r>
  <r>
    <x v="732"/>
    <x v="3"/>
  </r>
  <r>
    <x v="733"/>
    <x v="3"/>
  </r>
  <r>
    <x v="734"/>
    <x v="3"/>
  </r>
  <r>
    <x v="735"/>
    <x v="3"/>
  </r>
  <r>
    <x v="736"/>
    <x v="3"/>
  </r>
  <r>
    <x v="737"/>
    <x v="3"/>
  </r>
  <r>
    <x v="738"/>
    <x v="3"/>
  </r>
  <r>
    <x v="738"/>
    <x v="3"/>
  </r>
  <r>
    <x v="739"/>
    <x v="3"/>
  </r>
  <r>
    <x v="740"/>
    <x v="3"/>
  </r>
  <r>
    <x v="741"/>
    <x v="3"/>
  </r>
  <r>
    <x v="742"/>
    <x v="3"/>
  </r>
  <r>
    <x v="743"/>
    <x v="3"/>
  </r>
  <r>
    <x v="744"/>
    <x v="3"/>
  </r>
  <r>
    <x v="745"/>
    <x v="3"/>
  </r>
  <r>
    <x v="746"/>
    <x v="3"/>
  </r>
  <r>
    <x v="747"/>
    <x v="3"/>
  </r>
  <r>
    <x v="748"/>
    <x v="3"/>
  </r>
  <r>
    <x v="749"/>
    <x v="3"/>
  </r>
  <r>
    <x v="750"/>
    <x v="3"/>
  </r>
  <r>
    <x v="751"/>
    <x v="3"/>
  </r>
  <r>
    <x v="752"/>
    <x v="3"/>
  </r>
  <r>
    <x v="753"/>
    <x v="3"/>
  </r>
  <r>
    <x v="754"/>
    <x v="3"/>
  </r>
  <r>
    <x v="755"/>
    <x v="3"/>
  </r>
  <r>
    <x v="756"/>
    <x v="3"/>
  </r>
  <r>
    <x v="757"/>
    <x v="3"/>
  </r>
  <r>
    <x v="758"/>
    <x v="3"/>
  </r>
  <r>
    <x v="759"/>
    <x v="3"/>
  </r>
  <r>
    <x v="760"/>
    <x v="3"/>
  </r>
  <r>
    <x v="761"/>
    <x v="3"/>
  </r>
  <r>
    <x v="762"/>
    <x v="3"/>
  </r>
  <r>
    <x v="762"/>
    <x v="3"/>
  </r>
  <r>
    <x v="763"/>
    <x v="3"/>
  </r>
  <r>
    <x v="764"/>
    <x v="3"/>
  </r>
  <r>
    <x v="765"/>
    <x v="3"/>
  </r>
  <r>
    <x v="766"/>
    <x v="3"/>
  </r>
  <r>
    <x v="767"/>
    <x v="3"/>
  </r>
  <r>
    <x v="768"/>
    <x v="3"/>
  </r>
  <r>
    <x v="769"/>
    <x v="3"/>
  </r>
  <r>
    <x v="770"/>
    <x v="3"/>
  </r>
  <r>
    <x v="771"/>
    <x v="3"/>
  </r>
  <r>
    <x v="772"/>
    <x v="3"/>
  </r>
  <r>
    <x v="772"/>
    <x v="3"/>
  </r>
  <r>
    <x v="773"/>
    <x v="3"/>
  </r>
  <r>
    <x v="774"/>
    <x v="3"/>
  </r>
  <r>
    <x v="775"/>
    <x v="3"/>
  </r>
  <r>
    <x v="776"/>
    <x v="3"/>
  </r>
  <r>
    <x v="777"/>
    <x v="3"/>
  </r>
  <r>
    <x v="778"/>
    <x v="3"/>
  </r>
  <r>
    <x v="779"/>
    <x v="3"/>
  </r>
  <r>
    <x v="780"/>
    <x v="3"/>
  </r>
  <r>
    <x v="781"/>
    <x v="3"/>
  </r>
  <r>
    <x v="782"/>
    <x v="3"/>
  </r>
  <r>
    <x v="783"/>
    <x v="3"/>
  </r>
  <r>
    <x v="784"/>
    <x v="3"/>
  </r>
  <r>
    <x v="785"/>
    <x v="3"/>
  </r>
  <r>
    <x v="786"/>
    <x v="3"/>
  </r>
  <r>
    <x v="787"/>
    <x v="3"/>
  </r>
  <r>
    <x v="788"/>
    <x v="3"/>
  </r>
  <r>
    <x v="789"/>
    <x v="3"/>
  </r>
  <r>
    <x v="790"/>
    <x v="3"/>
  </r>
  <r>
    <x v="791"/>
    <x v="3"/>
  </r>
  <r>
    <x v="792"/>
    <x v="3"/>
  </r>
  <r>
    <x v="793"/>
    <x v="3"/>
  </r>
  <r>
    <x v="794"/>
    <x v="3"/>
  </r>
  <r>
    <x v="794"/>
    <x v="3"/>
  </r>
  <r>
    <x v="795"/>
    <x v="3"/>
  </r>
  <r>
    <x v="796"/>
    <x v="3"/>
  </r>
  <r>
    <x v="797"/>
    <x v="3"/>
  </r>
  <r>
    <x v="798"/>
    <x v="3"/>
  </r>
  <r>
    <x v="798"/>
    <x v="3"/>
  </r>
  <r>
    <x v="798"/>
    <x v="3"/>
  </r>
  <r>
    <x v="799"/>
    <x v="3"/>
  </r>
  <r>
    <x v="800"/>
    <x v="3"/>
  </r>
  <r>
    <x v="801"/>
    <x v="3"/>
  </r>
  <r>
    <x v="802"/>
    <x v="3"/>
  </r>
  <r>
    <x v="803"/>
    <x v="3"/>
  </r>
  <r>
    <x v="803"/>
    <x v="3"/>
  </r>
  <r>
    <x v="804"/>
    <x v="3"/>
  </r>
  <r>
    <x v="805"/>
    <x v="3"/>
  </r>
  <r>
    <x v="806"/>
    <x v="3"/>
  </r>
  <r>
    <x v="806"/>
    <x v="3"/>
  </r>
  <r>
    <x v="807"/>
    <x v="3"/>
  </r>
  <r>
    <x v="808"/>
    <x v="3"/>
  </r>
  <r>
    <x v="808"/>
    <x v="3"/>
  </r>
  <r>
    <x v="809"/>
    <x v="3"/>
  </r>
  <r>
    <x v="810"/>
    <x v="3"/>
  </r>
  <r>
    <x v="811"/>
    <x v="3"/>
  </r>
  <r>
    <x v="811"/>
    <x v="3"/>
  </r>
  <r>
    <x v="812"/>
    <x v="3"/>
  </r>
  <r>
    <x v="813"/>
    <x v="3"/>
  </r>
  <r>
    <x v="814"/>
    <x v="3"/>
  </r>
  <r>
    <x v="815"/>
    <x v="3"/>
  </r>
  <r>
    <x v="816"/>
    <x v="3"/>
  </r>
  <r>
    <x v="817"/>
    <x v="3"/>
  </r>
  <r>
    <x v="818"/>
    <x v="3"/>
  </r>
  <r>
    <x v="819"/>
    <x v="3"/>
  </r>
  <r>
    <x v="820"/>
    <x v="3"/>
  </r>
  <r>
    <x v="821"/>
    <x v="3"/>
  </r>
  <r>
    <x v="822"/>
    <x v="3"/>
  </r>
  <r>
    <x v="823"/>
    <x v="3"/>
  </r>
  <r>
    <x v="824"/>
    <x v="3"/>
  </r>
  <r>
    <x v="825"/>
    <x v="3"/>
  </r>
  <r>
    <x v="826"/>
    <x v="3"/>
  </r>
  <r>
    <x v="827"/>
    <x v="3"/>
  </r>
  <r>
    <x v="828"/>
    <x v="3"/>
  </r>
  <r>
    <x v="829"/>
    <x v="3"/>
  </r>
  <r>
    <x v="830"/>
    <x v="3"/>
  </r>
  <r>
    <x v="831"/>
    <x v="3"/>
  </r>
  <r>
    <x v="831"/>
    <x v="3"/>
  </r>
  <r>
    <x v="832"/>
    <x v="3"/>
  </r>
  <r>
    <x v="833"/>
    <x v="3"/>
  </r>
  <r>
    <x v="834"/>
    <x v="3"/>
  </r>
  <r>
    <x v="835"/>
    <x v="3"/>
  </r>
  <r>
    <x v="836"/>
    <x v="3"/>
  </r>
  <r>
    <x v="837"/>
    <x v="3"/>
  </r>
  <r>
    <x v="838"/>
    <x v="3"/>
  </r>
  <r>
    <x v="839"/>
    <x v="3"/>
  </r>
  <r>
    <x v="840"/>
    <x v="3"/>
  </r>
  <r>
    <x v="841"/>
    <x v="3"/>
  </r>
  <r>
    <x v="842"/>
    <x v="3"/>
  </r>
  <r>
    <x v="843"/>
    <x v="3"/>
  </r>
  <r>
    <x v="844"/>
    <x v="3"/>
  </r>
  <r>
    <x v="845"/>
    <x v="3"/>
  </r>
  <r>
    <x v="846"/>
    <x v="3"/>
  </r>
  <r>
    <x v="847"/>
    <x v="3"/>
  </r>
  <r>
    <x v="848"/>
    <x v="3"/>
  </r>
  <r>
    <x v="849"/>
    <x v="3"/>
  </r>
  <r>
    <x v="850"/>
    <x v="3"/>
  </r>
  <r>
    <x v="851"/>
    <x v="3"/>
  </r>
  <r>
    <x v="852"/>
    <x v="3"/>
  </r>
  <r>
    <x v="852"/>
    <x v="3"/>
  </r>
  <r>
    <x v="853"/>
    <x v="3"/>
  </r>
  <r>
    <x v="854"/>
    <x v="3"/>
  </r>
  <r>
    <x v="855"/>
    <x v="3"/>
  </r>
  <r>
    <x v="856"/>
    <x v="3"/>
  </r>
  <r>
    <x v="857"/>
    <x v="3"/>
  </r>
  <r>
    <x v="858"/>
    <x v="3"/>
  </r>
  <r>
    <x v="859"/>
    <x v="3"/>
  </r>
  <r>
    <x v="860"/>
    <x v="3"/>
  </r>
  <r>
    <x v="861"/>
    <x v="3"/>
  </r>
  <r>
    <x v="861"/>
    <x v="3"/>
  </r>
  <r>
    <x v="862"/>
    <x v="3"/>
  </r>
  <r>
    <x v="862"/>
    <x v="3"/>
  </r>
  <r>
    <x v="863"/>
    <x v="3"/>
  </r>
  <r>
    <x v="864"/>
    <x v="3"/>
  </r>
  <r>
    <x v="865"/>
    <x v="3"/>
  </r>
  <r>
    <x v="866"/>
    <x v="3"/>
  </r>
  <r>
    <x v="867"/>
    <x v="3"/>
  </r>
  <r>
    <x v="868"/>
    <x v="3"/>
  </r>
  <r>
    <x v="869"/>
    <x v="3"/>
  </r>
  <r>
    <x v="870"/>
    <x v="3"/>
  </r>
  <r>
    <x v="871"/>
    <x v="3"/>
  </r>
  <r>
    <x v="872"/>
    <x v="3"/>
  </r>
  <r>
    <x v="873"/>
    <x v="3"/>
  </r>
  <r>
    <x v="874"/>
    <x v="3"/>
  </r>
  <r>
    <x v="875"/>
    <x v="3"/>
  </r>
  <r>
    <x v="876"/>
    <x v="3"/>
  </r>
  <r>
    <x v="877"/>
    <x v="3"/>
  </r>
  <r>
    <x v="877"/>
    <x v="3"/>
  </r>
  <r>
    <x v="878"/>
    <x v="3"/>
  </r>
  <r>
    <x v="879"/>
    <x v="3"/>
  </r>
  <r>
    <x v="880"/>
    <x v="3"/>
  </r>
  <r>
    <x v="881"/>
    <x v="3"/>
  </r>
  <r>
    <x v="881"/>
    <x v="3"/>
  </r>
  <r>
    <x v="881"/>
    <x v="3"/>
  </r>
  <r>
    <x v="882"/>
    <x v="3"/>
  </r>
  <r>
    <x v="883"/>
    <x v="3"/>
  </r>
  <r>
    <x v="884"/>
    <x v="3"/>
  </r>
  <r>
    <x v="885"/>
    <x v="3"/>
  </r>
  <r>
    <x v="886"/>
    <x v="3"/>
  </r>
  <r>
    <x v="887"/>
    <x v="3"/>
  </r>
  <r>
    <x v="887"/>
    <x v="3"/>
  </r>
  <r>
    <x v="888"/>
    <x v="3"/>
  </r>
  <r>
    <x v="889"/>
    <x v="3"/>
  </r>
  <r>
    <x v="890"/>
    <x v="3"/>
  </r>
  <r>
    <x v="891"/>
    <x v="3"/>
  </r>
  <r>
    <x v="892"/>
    <x v="3"/>
  </r>
  <r>
    <x v="893"/>
    <x v="3"/>
  </r>
  <r>
    <x v="894"/>
    <x v="3"/>
  </r>
  <r>
    <x v="895"/>
    <x v="3"/>
  </r>
  <r>
    <x v="896"/>
    <x v="3"/>
  </r>
  <r>
    <x v="897"/>
    <x v="3"/>
  </r>
  <r>
    <x v="898"/>
    <x v="3"/>
  </r>
  <r>
    <x v="899"/>
    <x v="3"/>
  </r>
  <r>
    <x v="900"/>
    <x v="3"/>
  </r>
  <r>
    <x v="901"/>
    <x v="3"/>
  </r>
  <r>
    <x v="901"/>
    <x v="3"/>
  </r>
  <r>
    <x v="902"/>
    <x v="3"/>
  </r>
  <r>
    <x v="903"/>
    <x v="3"/>
  </r>
  <r>
    <x v="904"/>
    <x v="3"/>
  </r>
  <r>
    <x v="905"/>
    <x v="3"/>
  </r>
  <r>
    <x v="906"/>
    <x v="3"/>
  </r>
  <r>
    <x v="906"/>
    <x v="3"/>
  </r>
  <r>
    <x v="907"/>
    <x v="3"/>
  </r>
  <r>
    <x v="908"/>
    <x v="3"/>
  </r>
  <r>
    <x v="909"/>
    <x v="3"/>
  </r>
  <r>
    <x v="909"/>
    <x v="3"/>
  </r>
  <r>
    <x v="910"/>
    <x v="3"/>
  </r>
  <r>
    <x v="911"/>
    <x v="3"/>
  </r>
  <r>
    <x v="912"/>
    <x v="3"/>
  </r>
  <r>
    <x v="913"/>
    <x v="3"/>
  </r>
  <r>
    <x v="914"/>
    <x v="3"/>
  </r>
  <r>
    <x v="915"/>
    <x v="3"/>
  </r>
  <r>
    <x v="916"/>
    <x v="3"/>
  </r>
  <r>
    <x v="916"/>
    <x v="3"/>
  </r>
  <r>
    <x v="917"/>
    <x v="3"/>
  </r>
  <r>
    <x v="918"/>
    <x v="3"/>
  </r>
  <r>
    <x v="919"/>
    <x v="3"/>
  </r>
  <r>
    <x v="920"/>
    <x v="3"/>
  </r>
  <r>
    <x v="921"/>
    <x v="3"/>
  </r>
  <r>
    <x v="922"/>
    <x v="3"/>
  </r>
  <r>
    <x v="923"/>
    <x v="3"/>
  </r>
  <r>
    <x v="923"/>
    <x v="3"/>
  </r>
  <r>
    <x v="924"/>
    <x v="3"/>
  </r>
  <r>
    <x v="925"/>
    <x v="3"/>
  </r>
  <r>
    <x v="926"/>
    <x v="3"/>
  </r>
  <r>
    <x v="927"/>
    <x v="3"/>
  </r>
  <r>
    <x v="928"/>
    <x v="3"/>
  </r>
  <r>
    <x v="929"/>
    <x v="3"/>
  </r>
  <r>
    <x v="930"/>
    <x v="3"/>
  </r>
  <r>
    <x v="931"/>
    <x v="3"/>
  </r>
  <r>
    <x v="932"/>
    <x v="3"/>
  </r>
  <r>
    <x v="933"/>
    <x v="3"/>
  </r>
  <r>
    <x v="934"/>
    <x v="3"/>
  </r>
  <r>
    <x v="935"/>
    <x v="3"/>
  </r>
  <r>
    <x v="936"/>
    <x v="3"/>
  </r>
  <r>
    <x v="937"/>
    <x v="3"/>
  </r>
  <r>
    <x v="938"/>
    <x v="3"/>
  </r>
  <r>
    <x v="939"/>
    <x v="3"/>
  </r>
  <r>
    <x v="940"/>
    <x v="3"/>
  </r>
  <r>
    <x v="941"/>
    <x v="3"/>
  </r>
  <r>
    <x v="942"/>
    <x v="3"/>
  </r>
  <r>
    <x v="943"/>
    <x v="3"/>
  </r>
  <r>
    <x v="944"/>
    <x v="3"/>
  </r>
  <r>
    <x v="944"/>
    <x v="3"/>
  </r>
  <r>
    <x v="945"/>
    <x v="3"/>
  </r>
  <r>
    <x v="946"/>
    <x v="3"/>
  </r>
  <r>
    <x v="946"/>
    <x v="3"/>
  </r>
  <r>
    <x v="947"/>
    <x v="3"/>
  </r>
  <r>
    <x v="948"/>
    <x v="3"/>
  </r>
  <r>
    <x v="949"/>
    <x v="3"/>
  </r>
  <r>
    <x v="950"/>
    <x v="3"/>
  </r>
  <r>
    <x v="950"/>
    <x v="3"/>
  </r>
  <r>
    <x v="951"/>
    <x v="3"/>
  </r>
  <r>
    <x v="952"/>
    <x v="3"/>
  </r>
  <r>
    <x v="953"/>
    <x v="3"/>
  </r>
  <r>
    <x v="954"/>
    <x v="3"/>
  </r>
  <r>
    <x v="955"/>
    <x v="3"/>
  </r>
  <r>
    <x v="955"/>
    <x v="3"/>
  </r>
  <r>
    <x v="956"/>
    <x v="3"/>
  </r>
  <r>
    <x v="956"/>
    <x v="3"/>
  </r>
  <r>
    <x v="957"/>
    <x v="3"/>
  </r>
  <r>
    <x v="958"/>
    <x v="3"/>
  </r>
  <r>
    <x v="959"/>
    <x v="3"/>
  </r>
  <r>
    <x v="960"/>
    <x v="3"/>
  </r>
  <r>
    <x v="961"/>
    <x v="3"/>
  </r>
  <r>
    <x v="962"/>
    <x v="3"/>
  </r>
  <r>
    <x v="963"/>
    <x v="3"/>
  </r>
  <r>
    <x v="964"/>
    <x v="3"/>
  </r>
  <r>
    <x v="965"/>
    <x v="3"/>
  </r>
  <r>
    <x v="966"/>
    <x v="3"/>
  </r>
  <r>
    <x v="967"/>
    <x v="3"/>
  </r>
  <r>
    <x v="968"/>
    <x v="3"/>
  </r>
  <r>
    <x v="969"/>
    <x v="3"/>
  </r>
  <r>
    <x v="970"/>
    <x v="3"/>
  </r>
  <r>
    <x v="971"/>
    <x v="3"/>
  </r>
  <r>
    <x v="972"/>
    <x v="3"/>
  </r>
  <r>
    <x v="973"/>
    <x v="3"/>
  </r>
  <r>
    <x v="974"/>
    <x v="3"/>
  </r>
  <r>
    <x v="975"/>
    <x v="3"/>
  </r>
  <r>
    <x v="976"/>
    <x v="3"/>
  </r>
  <r>
    <x v="977"/>
    <x v="3"/>
  </r>
  <r>
    <x v="978"/>
    <x v="3"/>
  </r>
  <r>
    <x v="979"/>
    <x v="3"/>
  </r>
  <r>
    <x v="980"/>
    <x v="3"/>
  </r>
  <r>
    <x v="981"/>
    <x v="3"/>
  </r>
  <r>
    <x v="982"/>
    <x v="0"/>
  </r>
  <r>
    <x v="982"/>
    <x v="0"/>
  </r>
  <r>
    <x v="983"/>
    <x v="0"/>
  </r>
  <r>
    <x v="984"/>
    <x v="0"/>
  </r>
  <r>
    <x v="985"/>
    <x v="0"/>
  </r>
  <r>
    <x v="986"/>
    <x v="0"/>
  </r>
  <r>
    <x v="987"/>
    <x v="0"/>
  </r>
  <r>
    <x v="988"/>
    <x v="0"/>
  </r>
  <r>
    <x v="989"/>
    <x v="0"/>
  </r>
  <r>
    <x v="990"/>
    <x v="0"/>
  </r>
  <r>
    <x v="991"/>
    <x v="0"/>
  </r>
  <r>
    <x v="992"/>
    <x v="0"/>
  </r>
  <r>
    <x v="993"/>
    <x v="0"/>
  </r>
  <r>
    <x v="994"/>
    <x v="0"/>
  </r>
  <r>
    <x v="995"/>
    <x v="0"/>
  </r>
  <r>
    <x v="996"/>
    <x v="0"/>
  </r>
  <r>
    <x v="997"/>
    <x v="0"/>
  </r>
  <r>
    <x v="998"/>
    <x v="0"/>
  </r>
  <r>
    <x v="999"/>
    <x v="0"/>
  </r>
  <r>
    <x v="1000"/>
    <x v="0"/>
  </r>
  <r>
    <x v="1001"/>
    <x v="0"/>
  </r>
  <r>
    <x v="1001"/>
    <x v="0"/>
  </r>
  <r>
    <x v="1002"/>
    <x v="0"/>
  </r>
  <r>
    <x v="1003"/>
    <x v="0"/>
  </r>
  <r>
    <x v="1004"/>
    <x v="0"/>
  </r>
  <r>
    <x v="1005"/>
    <x v="0"/>
  </r>
  <r>
    <x v="1006"/>
    <x v="0"/>
  </r>
  <r>
    <x v="1007"/>
    <x v="0"/>
  </r>
  <r>
    <x v="1007"/>
    <x v="0"/>
  </r>
  <r>
    <x v="1008"/>
    <x v="0"/>
  </r>
  <r>
    <x v="1008"/>
    <x v="0"/>
  </r>
  <r>
    <x v="1008"/>
    <x v="0"/>
  </r>
  <r>
    <x v="1009"/>
    <x v="0"/>
  </r>
  <r>
    <x v="1009"/>
    <x v="0"/>
  </r>
  <r>
    <x v="1010"/>
    <x v="0"/>
  </r>
  <r>
    <x v="1011"/>
    <x v="0"/>
  </r>
  <r>
    <x v="1011"/>
    <x v="0"/>
  </r>
  <r>
    <x v="1012"/>
    <x v="0"/>
  </r>
  <r>
    <x v="1013"/>
    <x v="0"/>
  </r>
  <r>
    <x v="1014"/>
    <x v="0"/>
  </r>
  <r>
    <x v="1015"/>
    <x v="0"/>
  </r>
  <r>
    <x v="1016"/>
    <x v="0"/>
  </r>
  <r>
    <x v="1017"/>
    <x v="0"/>
  </r>
  <r>
    <x v="1018"/>
    <x v="0"/>
  </r>
  <r>
    <x v="1019"/>
    <x v="0"/>
  </r>
  <r>
    <x v="1020"/>
    <x v="0"/>
  </r>
  <r>
    <x v="1021"/>
    <x v="0"/>
  </r>
  <r>
    <x v="1022"/>
    <x v="0"/>
  </r>
  <r>
    <x v="1023"/>
    <x v="0"/>
  </r>
  <r>
    <x v="1024"/>
    <x v="0"/>
  </r>
  <r>
    <x v="1025"/>
    <x v="0"/>
  </r>
  <r>
    <x v="1026"/>
    <x v="0"/>
  </r>
  <r>
    <x v="1027"/>
    <x v="0"/>
  </r>
  <r>
    <x v="1028"/>
    <x v="0"/>
  </r>
  <r>
    <x v="1029"/>
    <x v="0"/>
  </r>
  <r>
    <x v="1030"/>
    <x v="0"/>
  </r>
  <r>
    <x v="1030"/>
    <x v="0"/>
  </r>
  <r>
    <x v="1031"/>
    <x v="0"/>
  </r>
  <r>
    <x v="1032"/>
    <x v="0"/>
  </r>
  <r>
    <x v="1033"/>
    <x v="0"/>
  </r>
  <r>
    <x v="1034"/>
    <x v="0"/>
  </r>
  <r>
    <x v="1035"/>
    <x v="0"/>
  </r>
  <r>
    <x v="1036"/>
    <x v="0"/>
  </r>
  <r>
    <x v="1037"/>
    <x v="0"/>
  </r>
  <r>
    <x v="1038"/>
    <x v="10"/>
  </r>
  <r>
    <x v="1039"/>
    <x v="10"/>
  </r>
  <r>
    <x v="1040"/>
    <x v="10"/>
  </r>
  <r>
    <x v="1041"/>
    <x v="10"/>
  </r>
  <r>
    <x v="1042"/>
    <x v="10"/>
  </r>
  <r>
    <x v="1043"/>
    <x v="10"/>
  </r>
  <r>
    <x v="1044"/>
    <x v="10"/>
  </r>
  <r>
    <x v="1045"/>
    <x v="10"/>
  </r>
  <r>
    <x v="1046"/>
    <x v="10"/>
  </r>
  <r>
    <x v="1047"/>
    <x v="10"/>
  </r>
  <r>
    <x v="1048"/>
    <x v="10"/>
  </r>
  <r>
    <x v="1049"/>
    <x v="10"/>
  </r>
  <r>
    <x v="1050"/>
    <x v="10"/>
  </r>
  <r>
    <x v="1051"/>
    <x v="10"/>
  </r>
  <r>
    <x v="1052"/>
    <x v="10"/>
  </r>
  <r>
    <x v="1053"/>
    <x v="10"/>
  </r>
  <r>
    <x v="1054"/>
    <x v="10"/>
  </r>
  <r>
    <x v="1055"/>
    <x v="10"/>
  </r>
  <r>
    <x v="1055"/>
    <x v="10"/>
  </r>
  <r>
    <x v="1056"/>
    <x v="10"/>
  </r>
  <r>
    <x v="1057"/>
    <x v="10"/>
  </r>
  <r>
    <x v="1058"/>
    <x v="10"/>
  </r>
  <r>
    <x v="1059"/>
    <x v="10"/>
  </r>
  <r>
    <x v="1060"/>
    <x v="10"/>
  </r>
  <r>
    <x v="1061"/>
    <x v="10"/>
  </r>
  <r>
    <x v="1062"/>
    <x v="10"/>
  </r>
  <r>
    <x v="1063"/>
    <x v="10"/>
  </r>
  <r>
    <x v="1064"/>
    <x v="10"/>
  </r>
  <r>
    <x v="1065"/>
    <x v="10"/>
  </r>
  <r>
    <x v="1066"/>
    <x v="10"/>
  </r>
  <r>
    <x v="1066"/>
    <x v="10"/>
  </r>
  <r>
    <x v="526"/>
    <x v="10"/>
  </r>
  <r>
    <x v="1067"/>
    <x v="10"/>
  </r>
  <r>
    <x v="1068"/>
    <x v="10"/>
  </r>
  <r>
    <x v="1069"/>
    <x v="10"/>
  </r>
  <r>
    <x v="1070"/>
    <x v="10"/>
  </r>
  <r>
    <x v="1071"/>
    <x v="10"/>
  </r>
  <r>
    <x v="1071"/>
    <x v="10"/>
  </r>
  <r>
    <x v="1072"/>
    <x v="10"/>
  </r>
  <r>
    <x v="1073"/>
    <x v="10"/>
  </r>
  <r>
    <x v="1074"/>
    <x v="10"/>
  </r>
  <r>
    <x v="1075"/>
    <x v="10"/>
  </r>
  <r>
    <x v="1076"/>
    <x v="10"/>
  </r>
  <r>
    <x v="1077"/>
    <x v="10"/>
  </r>
  <r>
    <x v="1078"/>
    <x v="10"/>
  </r>
  <r>
    <x v="1078"/>
    <x v="10"/>
  </r>
  <r>
    <x v="1079"/>
    <x v="10"/>
  </r>
  <r>
    <x v="1080"/>
    <x v="10"/>
  </r>
  <r>
    <x v="1081"/>
    <x v="10"/>
  </r>
  <r>
    <x v="1082"/>
    <x v="10"/>
  </r>
  <r>
    <x v="1083"/>
    <x v="10"/>
  </r>
  <r>
    <x v="1084"/>
    <x v="10"/>
  </r>
  <r>
    <x v="1085"/>
    <x v="10"/>
  </r>
  <r>
    <x v="1086"/>
    <x v="10"/>
  </r>
  <r>
    <x v="1086"/>
    <x v="10"/>
  </r>
  <r>
    <x v="1087"/>
    <x v="10"/>
  </r>
  <r>
    <x v="1088"/>
    <x v="10"/>
  </r>
  <r>
    <x v="1089"/>
    <x v="10"/>
  </r>
  <r>
    <x v="1090"/>
    <x v="10"/>
  </r>
  <r>
    <x v="1091"/>
    <x v="10"/>
  </r>
  <r>
    <x v="1092"/>
    <x v="10"/>
  </r>
  <r>
    <x v="1093"/>
    <x v="10"/>
  </r>
  <r>
    <x v="1094"/>
    <x v="10"/>
  </r>
  <r>
    <x v="1095"/>
    <x v="10"/>
  </r>
  <r>
    <x v="1096"/>
    <x v="10"/>
  </r>
  <r>
    <x v="1097"/>
    <x v="10"/>
  </r>
  <r>
    <x v="1098"/>
    <x v="10"/>
  </r>
  <r>
    <x v="1099"/>
    <x v="10"/>
  </r>
  <r>
    <x v="1100"/>
    <x v="10"/>
  </r>
  <r>
    <x v="1101"/>
    <x v="10"/>
  </r>
  <r>
    <x v="1102"/>
    <x v="10"/>
  </r>
  <r>
    <x v="1103"/>
    <x v="10"/>
  </r>
  <r>
    <x v="1104"/>
    <x v="10"/>
  </r>
  <r>
    <x v="1105"/>
    <x v="9"/>
  </r>
  <r>
    <x v="1106"/>
    <x v="9"/>
  </r>
  <r>
    <x v="1107"/>
    <x v="9"/>
  </r>
  <r>
    <x v="1108"/>
    <x v="9"/>
  </r>
  <r>
    <x v="1109"/>
    <x v="9"/>
  </r>
  <r>
    <x v="1110"/>
    <x v="9"/>
  </r>
  <r>
    <x v="1111"/>
    <x v="9"/>
  </r>
  <r>
    <x v="1111"/>
    <x v="9"/>
  </r>
  <r>
    <x v="1112"/>
    <x v="9"/>
  </r>
  <r>
    <x v="1113"/>
    <x v="9"/>
  </r>
  <r>
    <x v="1114"/>
    <x v="9"/>
  </r>
  <r>
    <x v="1115"/>
    <x v="9"/>
  </r>
  <r>
    <x v="1116"/>
    <x v="9"/>
  </r>
  <r>
    <x v="1117"/>
    <x v="9"/>
  </r>
  <r>
    <x v="1118"/>
    <x v="9"/>
  </r>
  <r>
    <x v="1119"/>
    <x v="9"/>
  </r>
  <r>
    <x v="1120"/>
    <x v="9"/>
  </r>
  <r>
    <x v="1121"/>
    <x v="9"/>
  </r>
  <r>
    <x v="1122"/>
    <x v="9"/>
  </r>
  <r>
    <x v="1123"/>
    <x v="9"/>
  </r>
  <r>
    <x v="1124"/>
    <x v="9"/>
  </r>
  <r>
    <x v="1125"/>
    <x v="9"/>
  </r>
  <r>
    <x v="1126"/>
    <x v="9"/>
  </r>
  <r>
    <x v="1127"/>
    <x v="9"/>
  </r>
  <r>
    <x v="1128"/>
    <x v="9"/>
  </r>
  <r>
    <x v="1129"/>
    <x v="9"/>
  </r>
  <r>
    <x v="1130"/>
    <x v="9"/>
  </r>
  <r>
    <x v="1130"/>
    <x v="9"/>
  </r>
  <r>
    <x v="1131"/>
    <x v="9"/>
  </r>
  <r>
    <x v="1132"/>
    <x v="9"/>
  </r>
  <r>
    <x v="1133"/>
    <x v="9"/>
  </r>
  <r>
    <x v="1134"/>
    <x v="9"/>
  </r>
  <r>
    <x v="1135"/>
    <x v="9"/>
  </r>
  <r>
    <x v="1135"/>
    <x v="9"/>
  </r>
  <r>
    <x v="1136"/>
    <x v="9"/>
  </r>
  <r>
    <x v="1137"/>
    <x v="9"/>
  </r>
  <r>
    <x v="1138"/>
    <x v="9"/>
  </r>
  <r>
    <x v="1139"/>
    <x v="9"/>
  </r>
  <r>
    <x v="1140"/>
    <x v="9"/>
  </r>
  <r>
    <x v="1141"/>
    <x v="9"/>
  </r>
  <r>
    <x v="1142"/>
    <x v="9"/>
  </r>
  <r>
    <x v="1143"/>
    <x v="9"/>
  </r>
  <r>
    <x v="1144"/>
    <x v="9"/>
  </r>
  <r>
    <x v="1145"/>
    <x v="9"/>
  </r>
  <r>
    <x v="1146"/>
    <x v="9"/>
  </r>
  <r>
    <x v="1147"/>
    <x v="9"/>
  </r>
  <r>
    <x v="1148"/>
    <x v="9"/>
  </r>
  <r>
    <x v="1149"/>
    <x v="9"/>
  </r>
  <r>
    <x v="1150"/>
    <x v="9"/>
  </r>
  <r>
    <x v="1151"/>
    <x v="9"/>
  </r>
  <r>
    <x v="1152"/>
    <x v="9"/>
  </r>
  <r>
    <x v="1153"/>
    <x v="9"/>
  </r>
  <r>
    <x v="1154"/>
    <x v="9"/>
  </r>
  <r>
    <x v="1155"/>
    <x v="9"/>
  </r>
  <r>
    <x v="1156"/>
    <x v="9"/>
  </r>
  <r>
    <x v="1157"/>
    <x v="9"/>
  </r>
  <r>
    <x v="1158"/>
    <x v="9"/>
  </r>
  <r>
    <x v="1159"/>
    <x v="9"/>
  </r>
  <r>
    <x v="1160"/>
    <x v="9"/>
  </r>
  <r>
    <x v="1160"/>
    <x v="9"/>
  </r>
  <r>
    <x v="1161"/>
    <x v="9"/>
  </r>
  <r>
    <x v="1162"/>
    <x v="9"/>
  </r>
  <r>
    <x v="1162"/>
    <x v="9"/>
  </r>
  <r>
    <x v="1163"/>
    <x v="9"/>
  </r>
  <r>
    <x v="1164"/>
    <x v="9"/>
  </r>
  <r>
    <x v="1165"/>
    <x v="9"/>
  </r>
  <r>
    <x v="1166"/>
    <x v="9"/>
  </r>
  <r>
    <x v="1167"/>
    <x v="9"/>
  </r>
  <r>
    <x v="1168"/>
    <x v="9"/>
  </r>
  <r>
    <x v="1169"/>
    <x v="9"/>
  </r>
  <r>
    <x v="1170"/>
    <x v="9"/>
  </r>
  <r>
    <x v="1171"/>
    <x v="9"/>
  </r>
  <r>
    <x v="1172"/>
    <x v="9"/>
  </r>
  <r>
    <x v="1173"/>
    <x v="9"/>
  </r>
  <r>
    <x v="1174"/>
    <x v="9"/>
  </r>
  <r>
    <x v="1175"/>
    <x v="9"/>
  </r>
  <r>
    <x v="1176"/>
    <x v="9"/>
  </r>
  <r>
    <x v="1177"/>
    <x v="9"/>
  </r>
  <r>
    <x v="1177"/>
    <x v="9"/>
  </r>
  <r>
    <x v="1178"/>
    <x v="9"/>
  </r>
  <r>
    <x v="1179"/>
    <x v="26"/>
  </r>
  <r>
    <x v="1179"/>
    <x v="26"/>
  </r>
  <r>
    <x v="1180"/>
    <x v="11"/>
  </r>
  <r>
    <x v="1181"/>
    <x v="11"/>
  </r>
  <r>
    <x v="1182"/>
    <x v="11"/>
  </r>
  <r>
    <x v="1183"/>
    <x v="11"/>
  </r>
  <r>
    <x v="1184"/>
    <x v="11"/>
  </r>
  <r>
    <x v="1185"/>
    <x v="11"/>
  </r>
  <r>
    <x v="1186"/>
    <x v="11"/>
  </r>
  <r>
    <x v="1187"/>
    <x v="11"/>
  </r>
  <r>
    <x v="1188"/>
    <x v="11"/>
  </r>
  <r>
    <x v="1189"/>
    <x v="11"/>
  </r>
  <r>
    <x v="1190"/>
    <x v="11"/>
  </r>
  <r>
    <x v="1191"/>
    <x v="2"/>
  </r>
  <r>
    <x v="1192"/>
    <x v="2"/>
  </r>
  <r>
    <x v="1193"/>
    <x v="2"/>
  </r>
  <r>
    <x v="1193"/>
    <x v="2"/>
  </r>
  <r>
    <x v="1194"/>
    <x v="2"/>
  </r>
  <r>
    <x v="1195"/>
    <x v="2"/>
  </r>
  <r>
    <x v="1196"/>
    <x v="2"/>
  </r>
  <r>
    <x v="1197"/>
    <x v="2"/>
  </r>
  <r>
    <x v="1198"/>
    <x v="2"/>
  </r>
  <r>
    <x v="1199"/>
    <x v="2"/>
  </r>
  <r>
    <x v="1200"/>
    <x v="2"/>
  </r>
  <r>
    <x v="1201"/>
    <x v="2"/>
  </r>
  <r>
    <x v="1202"/>
    <x v="2"/>
  </r>
  <r>
    <x v="1203"/>
    <x v="2"/>
  </r>
  <r>
    <x v="1204"/>
    <x v="2"/>
  </r>
  <r>
    <x v="1205"/>
    <x v="2"/>
  </r>
  <r>
    <x v="1206"/>
    <x v="2"/>
  </r>
  <r>
    <x v="1207"/>
    <x v="2"/>
  </r>
  <r>
    <x v="1208"/>
    <x v="2"/>
  </r>
  <r>
    <x v="1209"/>
    <x v="2"/>
  </r>
  <r>
    <x v="1210"/>
    <x v="2"/>
  </r>
  <r>
    <x v="1211"/>
    <x v="2"/>
  </r>
  <r>
    <x v="1212"/>
    <x v="2"/>
  </r>
  <r>
    <x v="1213"/>
    <x v="1"/>
  </r>
  <r>
    <x v="1214"/>
    <x v="1"/>
  </r>
  <r>
    <x v="1215"/>
    <x v="1"/>
  </r>
  <r>
    <x v="1216"/>
    <x v="1"/>
  </r>
  <r>
    <x v="1217"/>
    <x v="1"/>
  </r>
  <r>
    <x v="1218"/>
    <x v="1"/>
  </r>
  <r>
    <x v="1219"/>
    <x v="1"/>
  </r>
  <r>
    <x v="1220"/>
    <x v="1"/>
  </r>
  <r>
    <x v="1221"/>
    <x v="1"/>
  </r>
  <r>
    <x v="1222"/>
    <x v="1"/>
  </r>
  <r>
    <x v="1223"/>
    <x v="1"/>
  </r>
  <r>
    <x v="1224"/>
    <x v="1"/>
  </r>
  <r>
    <x v="1225"/>
    <x v="1"/>
  </r>
  <r>
    <x v="1226"/>
    <x v="1"/>
  </r>
  <r>
    <x v="1227"/>
    <x v="1"/>
  </r>
  <r>
    <x v="1228"/>
    <x v="1"/>
  </r>
  <r>
    <x v="1229"/>
    <x v="1"/>
  </r>
  <r>
    <x v="1230"/>
    <x v="1"/>
  </r>
  <r>
    <x v="1231"/>
    <x v="1"/>
  </r>
  <r>
    <x v="1232"/>
    <x v="1"/>
  </r>
  <r>
    <x v="1233"/>
    <x v="1"/>
  </r>
  <r>
    <x v="1233"/>
    <x v="1"/>
  </r>
  <r>
    <x v="1234"/>
    <x v="1"/>
  </r>
  <r>
    <x v="1235"/>
    <x v="1"/>
  </r>
  <r>
    <x v="1236"/>
    <x v="1"/>
  </r>
  <r>
    <x v="1237"/>
    <x v="1"/>
  </r>
  <r>
    <x v="1238"/>
    <x v="1"/>
  </r>
  <r>
    <x v="1239"/>
    <x v="1"/>
  </r>
  <r>
    <x v="1239"/>
    <x v="1"/>
  </r>
  <r>
    <x v="1240"/>
    <x v="1"/>
  </r>
  <r>
    <x v="1241"/>
    <x v="1"/>
  </r>
  <r>
    <x v="1242"/>
    <x v="1"/>
  </r>
  <r>
    <x v="1243"/>
    <x v="1"/>
  </r>
  <r>
    <x v="1244"/>
    <x v="1"/>
  </r>
  <r>
    <x v="1245"/>
    <x v="1"/>
  </r>
  <r>
    <x v="1246"/>
    <x v="1"/>
  </r>
  <r>
    <x v="1247"/>
    <x v="1"/>
  </r>
  <r>
    <x v="1248"/>
    <x v="1"/>
  </r>
  <r>
    <x v="1249"/>
    <x v="1"/>
  </r>
  <r>
    <x v="1250"/>
    <x v="1"/>
  </r>
  <r>
    <x v="1251"/>
    <x v="1"/>
  </r>
  <r>
    <x v="1252"/>
    <x v="1"/>
  </r>
  <r>
    <x v="1252"/>
    <x v="1"/>
  </r>
  <r>
    <x v="1253"/>
    <x v="1"/>
  </r>
  <r>
    <x v="1254"/>
    <x v="1"/>
  </r>
  <r>
    <x v="1255"/>
    <x v="1"/>
  </r>
  <r>
    <x v="1256"/>
    <x v="1"/>
  </r>
  <r>
    <x v="1257"/>
    <x v="1"/>
  </r>
  <r>
    <x v="1258"/>
    <x v="1"/>
  </r>
  <r>
    <x v="1259"/>
    <x v="1"/>
  </r>
  <r>
    <x v="1260"/>
    <x v="1"/>
  </r>
  <r>
    <x v="1261"/>
    <x v="1"/>
  </r>
  <r>
    <x v="1262"/>
    <x v="1"/>
  </r>
  <r>
    <x v="1263"/>
    <x v="1"/>
  </r>
  <r>
    <x v="1264"/>
    <x v="1"/>
  </r>
  <r>
    <x v="1264"/>
    <x v="1"/>
  </r>
  <r>
    <x v="1265"/>
    <x v="1"/>
  </r>
  <r>
    <x v="1266"/>
    <x v="1"/>
  </r>
  <r>
    <x v="126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83">
  <r>
    <x v="0"/>
    <n v="7953712000174"/>
  </r>
  <r>
    <x v="0"/>
    <n v="10496449000146"/>
  </r>
  <r>
    <x v="1"/>
    <n v="3608196000190"/>
  </r>
  <r>
    <x v="0"/>
    <n v="4314143000129"/>
  </r>
  <r>
    <x v="0"/>
    <n v="76188846000169"/>
  </r>
  <r>
    <x v="1"/>
    <n v="35957917000163"/>
  </r>
  <r>
    <x v="1"/>
    <n v="2900972000168"/>
  </r>
  <r>
    <x v="0"/>
    <n v="21423605000165"/>
  </r>
  <r>
    <x v="0"/>
    <n v="7263198000145"/>
  </r>
  <r>
    <x v="0"/>
    <n v="53412"/>
  </r>
  <r>
    <x v="1"/>
    <n v="2916265000160"/>
  </r>
  <r>
    <x v="1"/>
    <n v="51024961000177"/>
  </r>
  <r>
    <x v="0"/>
    <n v="40924102000118"/>
  </r>
  <r>
    <x v="1"/>
    <n v="31000248000186"/>
  </r>
  <r>
    <x v="1"/>
    <n v="24514316000160"/>
  </r>
  <r>
    <x v="1"/>
    <n v="22044907000195"/>
  </r>
  <r>
    <x v="1"/>
    <n v="21386088000100"/>
  </r>
  <r>
    <x v="1"/>
    <n v="3126110000192"/>
  </r>
  <r>
    <x v="1"/>
    <n v="11958200000178"/>
  </r>
  <r>
    <x v="0"/>
    <n v="3061794000191"/>
  </r>
  <r>
    <x v="1"/>
    <n v="23756206000141"/>
  </r>
  <r>
    <x v="1"/>
    <n v="6315338000119"/>
  </r>
  <r>
    <x v="1"/>
    <n v="41248280000139"/>
  </r>
  <r>
    <x v="1"/>
    <n v="33805990000194"/>
  </r>
  <r>
    <x v="0"/>
    <n v="14144376000184"/>
  </r>
  <r>
    <x v="0"/>
    <n v="68979111000125"/>
  </r>
  <r>
    <x v="1"/>
    <n v="12323649000122"/>
  </r>
  <r>
    <x v="1"/>
    <n v="68577659000149"/>
  </r>
  <r>
    <x v="1"/>
    <n v="43448117000145"/>
  </r>
  <r>
    <x v="1"/>
    <n v="18461528000123"/>
  </r>
  <r>
    <x v="1"/>
    <n v="20404196000197"/>
  </r>
  <r>
    <x v="1"/>
    <n v="6367990000187"/>
  </r>
  <r>
    <x v="1"/>
    <n v="14410508000172"/>
  </r>
  <r>
    <x v="1"/>
    <n v="28965734000124"/>
  </r>
  <r>
    <x v="0"/>
    <n v="7432416000128"/>
  </r>
  <r>
    <x v="1"/>
    <n v="40897110000112"/>
  </r>
  <r>
    <x v="0"/>
    <n v="1650438000188"/>
  </r>
  <r>
    <x v="0"/>
    <n v="2335956000170"/>
  </r>
  <r>
    <x v="0"/>
    <n v="5993759000136"/>
  </r>
  <r>
    <x v="0"/>
    <n v="42310177000134"/>
  </r>
  <r>
    <x v="0"/>
    <n v="81127144000105"/>
  </r>
  <r>
    <x v="1"/>
    <n v="2006743000102"/>
  </r>
  <r>
    <x v="1"/>
    <n v="8219447000168"/>
  </r>
  <r>
    <x v="0"/>
    <n v="242640000108"/>
  </r>
  <r>
    <x v="1"/>
    <n v="71015"/>
  </r>
  <r>
    <x v="1"/>
    <n v="71015"/>
  </r>
  <r>
    <x v="1"/>
    <n v="12900343000191"/>
  </r>
  <r>
    <x v="0"/>
    <n v="1746769000116"/>
  </r>
  <r>
    <x v="1"/>
    <n v="13564310000180"/>
  </r>
  <r>
    <x v="1"/>
    <n v="84552827000106"/>
  </r>
  <r>
    <x v="0"/>
    <n v="17589247000198"/>
  </r>
  <r>
    <x v="1"/>
    <n v="62768709000199"/>
  </r>
  <r>
    <x v="1"/>
    <n v="23589040000116"/>
  </r>
  <r>
    <x v="1"/>
    <n v="10541783000174"/>
  </r>
  <r>
    <x v="1"/>
    <n v="4443961000121"/>
  </r>
  <r>
    <x v="1"/>
    <n v="84084383000113"/>
  </r>
  <r>
    <x v="1"/>
    <n v="608456000139"/>
  </r>
  <r>
    <x v="1"/>
    <n v="7612370000129"/>
  </r>
  <r>
    <x v="1"/>
    <n v="11023327000103"/>
  </r>
  <r>
    <x v="1"/>
    <n v="14294484000133"/>
  </r>
  <r>
    <x v="1"/>
    <n v="49358487000178"/>
  </r>
  <r>
    <x v="1"/>
    <n v="18054044000160"/>
  </r>
  <r>
    <x v="1"/>
    <n v="18525828000129"/>
  </r>
  <r>
    <x v="1"/>
    <n v="60319235000172"/>
  </r>
  <r>
    <x v="1"/>
    <n v="62325982000149"/>
  </r>
  <r>
    <x v="1"/>
    <n v="26278985000105"/>
  </r>
  <r>
    <x v="0"/>
    <n v="1903750000136"/>
  </r>
  <r>
    <x v="1"/>
    <n v="20735946000456"/>
  </r>
  <r>
    <x v="1"/>
    <n v="23605612000103"/>
  </r>
  <r>
    <x v="0"/>
    <n v="17026052000130"/>
  </r>
  <r>
    <x v="0"/>
    <n v="17026052000130"/>
  </r>
  <r>
    <x v="1"/>
    <n v="11821060000191"/>
  </r>
  <r>
    <x v="1"/>
    <n v="11094826000183"/>
  </r>
  <r>
    <x v="1"/>
    <n v="35336375000101"/>
  </r>
  <r>
    <x v="1"/>
    <n v="22995633000110"/>
  </r>
  <r>
    <x v="1"/>
    <n v="11699398000112"/>
  </r>
  <r>
    <x v="1"/>
    <n v="34607811000177"/>
  </r>
  <r>
    <x v="1"/>
    <n v="4473078000184"/>
  </r>
  <r>
    <x v="1"/>
    <n v="84010040000104"/>
  </r>
  <r>
    <x v="1"/>
    <n v="6522265000136"/>
  </r>
  <r>
    <x v="1"/>
    <n v="13639824000158"/>
  </r>
  <r>
    <x v="1"/>
    <n v="44142950000126"/>
  </r>
  <r>
    <x v="1"/>
    <n v="13518649000140"/>
  </r>
  <r>
    <x v="1"/>
    <n v="21026335000159"/>
  </r>
  <r>
    <x v="1"/>
    <n v="42143865000157"/>
  </r>
  <r>
    <x v="1"/>
    <n v="63730014000180"/>
  </r>
  <r>
    <x v="1"/>
    <n v="6044947000180"/>
  </r>
  <r>
    <x v="1"/>
    <n v="15564129000108"/>
  </r>
  <r>
    <x v="1"/>
    <n v="15564129000108"/>
  </r>
  <r>
    <x v="1"/>
    <n v="42725389000182"/>
  </r>
  <r>
    <x v="0"/>
    <n v="34989647000100"/>
  </r>
  <r>
    <x v="1"/>
    <n v="84488550000191"/>
  </r>
  <r>
    <x v="1"/>
    <n v="9007471000104"/>
  </r>
  <r>
    <x v="1"/>
    <n v="34516450000153"/>
  </r>
  <r>
    <x v="1"/>
    <n v="8891893000114"/>
  </r>
  <r>
    <x v="1"/>
    <n v="4330304000178"/>
  </r>
  <r>
    <x v="1"/>
    <n v="6820212000100"/>
  </r>
  <r>
    <x v="0"/>
    <n v="22299597000150"/>
  </r>
  <r>
    <x v="1"/>
    <n v="51412204000170"/>
  </r>
  <r>
    <x v="1"/>
    <n v="56119835000110"/>
  </r>
  <r>
    <x v="0"/>
    <n v="1362266000147"/>
  </r>
  <r>
    <x v="1"/>
    <n v="44657313000192"/>
  </r>
  <r>
    <x v="1"/>
    <n v="1568020000126"/>
  </r>
  <r>
    <x v="1"/>
    <n v="7244914000147"/>
  </r>
  <r>
    <x v="1"/>
    <n v="4811052000107"/>
  </r>
  <r>
    <x v="0"/>
    <n v="15809486000180"/>
  </r>
  <r>
    <x v="0"/>
    <n v="23036429000134"/>
  </r>
  <r>
    <x v="1"/>
    <n v="31145051000135"/>
  </r>
  <r>
    <x v="1"/>
    <n v="31145051000135"/>
  </r>
  <r>
    <x v="1"/>
    <n v="26915771000100"/>
  </r>
  <r>
    <x v="1"/>
    <n v="4819181000133"/>
  </r>
  <r>
    <x v="1"/>
    <n v="36779318000160"/>
  </r>
  <r>
    <x v="1"/>
    <n v="25097573000106"/>
  </r>
  <r>
    <x v="1"/>
    <n v="3642171000102"/>
  </r>
  <r>
    <x v="1"/>
    <n v="15425851000153"/>
  </r>
  <r>
    <x v="1"/>
    <n v="12726019000107"/>
  </r>
  <r>
    <x v="0"/>
    <n v="5089941000167"/>
  </r>
  <r>
    <x v="0"/>
    <n v="1747038000195"/>
  </r>
  <r>
    <x v="0"/>
    <n v="10526719000114"/>
  </r>
  <r>
    <x v="1"/>
    <n v="13426271000155"/>
  </r>
  <r>
    <x v="1"/>
    <n v="4866319000155"/>
  </r>
  <r>
    <x v="1"/>
    <n v="26002003000158"/>
  </r>
  <r>
    <x v="1"/>
    <n v="7866382000180"/>
  </r>
  <r>
    <x v="1"/>
    <n v="43713271000105"/>
  </r>
  <r>
    <x v="1"/>
    <n v="84462290000185"/>
  </r>
  <r>
    <x v="1"/>
    <n v="2236769000139"/>
  </r>
  <r>
    <x v="1"/>
    <n v="46474636000176"/>
  </r>
  <r>
    <x v="1"/>
    <n v="10224658000130"/>
  </r>
  <r>
    <x v="1"/>
    <n v="17119598000135"/>
  </r>
  <r>
    <x v="0"/>
    <n v="22797070000155"/>
  </r>
  <r>
    <x v="1"/>
    <n v="5501594000138"/>
  </r>
  <r>
    <x v="0"/>
    <n v="14160269000140"/>
  </r>
  <r>
    <x v="1"/>
    <n v="8208384000144"/>
  </r>
  <r>
    <x v="1"/>
    <n v="10272172000178"/>
  </r>
  <r>
    <x v="1"/>
    <n v="10272172000178"/>
  </r>
  <r>
    <x v="1"/>
    <n v="10272172000178"/>
  </r>
  <r>
    <x v="1"/>
    <n v="30406564000190"/>
  </r>
  <r>
    <x v="1"/>
    <n v="54661155000106"/>
  </r>
  <r>
    <x v="1"/>
    <n v="16851421000166"/>
  </r>
  <r>
    <x v="1"/>
    <n v="84502244000162"/>
  </r>
  <r>
    <x v="0"/>
    <n v="9531610000196"/>
  </r>
  <r>
    <x v="1"/>
    <n v="1661770000148"/>
  </r>
  <r>
    <x v="1"/>
    <n v="1741756000154"/>
  </r>
  <r>
    <x v="1"/>
    <n v="19122124000178"/>
  </r>
  <r>
    <x v="0"/>
    <n v="8268378000182"/>
  </r>
  <r>
    <x v="1"/>
    <n v="30416561000137"/>
  </r>
  <r>
    <x v="1"/>
    <n v="18624436000117"/>
  </r>
  <r>
    <x v="1"/>
    <n v="63698724000170"/>
  </r>
  <r>
    <x v="1"/>
    <n v="22762223000129"/>
  </r>
  <r>
    <x v="1"/>
    <n v="29574206000107"/>
  </r>
  <r>
    <x v="1"/>
    <n v="8174282000155"/>
  </r>
  <r>
    <x v="1"/>
    <n v="10625216000104"/>
  </r>
  <r>
    <x v="1"/>
    <n v="8754934000120"/>
  </r>
  <r>
    <x v="1"/>
    <n v="34914283000107"/>
  </r>
  <r>
    <x v="1"/>
    <n v="2149109000110"/>
  </r>
  <r>
    <x v="1"/>
    <n v="4696992000194"/>
  </r>
  <r>
    <x v="1"/>
    <n v="10711378000157"/>
  </r>
  <r>
    <x v="1"/>
    <n v="84201672000155"/>
  </r>
  <r>
    <x v="0"/>
    <n v="12571101000100"/>
  </r>
  <r>
    <x v="1"/>
    <n v="39424302000122"/>
  </r>
  <r>
    <x v="1"/>
    <n v="22454868000102"/>
  </r>
  <r>
    <x v="1"/>
    <n v="6063153000164"/>
  </r>
  <r>
    <x v="1"/>
    <n v="2763624000196"/>
  </r>
  <r>
    <x v="1"/>
    <n v="34130063000184"/>
  </r>
  <r>
    <x v="0"/>
    <n v="21019319000139"/>
  </r>
  <r>
    <x v="1"/>
    <n v="13574672000152"/>
  </r>
  <r>
    <x v="1"/>
    <n v="83892117000154"/>
  </r>
  <r>
    <x v="1"/>
    <n v="22998059000153"/>
  </r>
  <r>
    <x v="1"/>
    <n v="15573776000178"/>
  </r>
  <r>
    <x v="1"/>
    <n v="39613354000147"/>
  </r>
  <r>
    <x v="1"/>
    <n v="18404639000106"/>
  </r>
  <r>
    <x v="1"/>
    <n v="8851807000140"/>
  </r>
  <r>
    <x v="0"/>
    <n v="5442439000198"/>
  </r>
  <r>
    <x v="0"/>
    <n v="34889477000191"/>
  </r>
  <r>
    <x v="1"/>
    <n v="19667688000196"/>
  </r>
  <r>
    <x v="1"/>
    <n v="7026812000155"/>
  </r>
  <r>
    <x v="1"/>
    <n v="7026812000155"/>
  </r>
  <r>
    <x v="0"/>
    <n v="63859961000176"/>
  </r>
  <r>
    <x v="1"/>
    <n v="2531528000112"/>
  </r>
  <r>
    <x v="1"/>
    <n v="9295550000150"/>
  </r>
  <r>
    <x v="1"/>
    <n v="83671602000106"/>
  </r>
  <r>
    <x v="1"/>
    <n v="7702708000133"/>
  </r>
  <r>
    <x v="1"/>
    <n v="13861254000146"/>
  </r>
  <r>
    <x v="1"/>
    <n v="28205654000170"/>
  </r>
  <r>
    <x v="0"/>
    <n v="14494538000104"/>
  </r>
  <r>
    <x v="1"/>
    <n v="83346932000118"/>
  </r>
  <r>
    <x v="1"/>
    <n v="53542601000192"/>
  </r>
  <r>
    <x v="1"/>
    <n v="19255079000120"/>
  </r>
  <r>
    <x v="1"/>
    <n v="3419290000109"/>
  </r>
  <r>
    <x v="1"/>
    <n v="5573324000132"/>
  </r>
  <r>
    <x v="1"/>
    <n v="4872156000113"/>
  </r>
  <r>
    <x v="1"/>
    <n v="14545655000150"/>
  </r>
  <r>
    <x v="1"/>
    <n v="20601574000122"/>
  </r>
  <r>
    <x v="1"/>
    <n v="20601574000122"/>
  </r>
  <r>
    <x v="1"/>
    <n v="34931097000178"/>
  </r>
  <r>
    <x v="1"/>
    <n v="59928082000181"/>
  </r>
  <r>
    <x v="1"/>
    <n v="3415854000127"/>
  </r>
  <r>
    <x v="0"/>
    <n v="83325670000105"/>
  </r>
  <r>
    <x v="1"/>
    <n v="5911869000101"/>
  </r>
  <r>
    <x v="1"/>
    <n v="9230232000100"/>
  </r>
  <r>
    <x v="1"/>
    <n v="42734113000160"/>
  </r>
  <r>
    <x v="1"/>
    <n v="24711550000187"/>
  </r>
  <r>
    <x v="1"/>
    <n v="4051084000143"/>
  </r>
  <r>
    <x v="1"/>
    <n v="45563971000188"/>
  </r>
  <r>
    <x v="1"/>
    <n v="7919228000129"/>
  </r>
  <r>
    <x v="1"/>
    <n v="42899374000130"/>
  </r>
  <r>
    <x v="1"/>
    <n v="10447760000103"/>
  </r>
  <r>
    <x v="1"/>
    <n v="10266214000168"/>
  </r>
  <r>
    <x v="1"/>
    <n v="10889552000156"/>
  </r>
  <r>
    <x v="1"/>
    <n v="30523189000168"/>
  </r>
  <r>
    <x v="1"/>
    <n v="22921069000190"/>
  </r>
  <r>
    <x v="1"/>
    <n v="14789807000160"/>
  </r>
  <r>
    <x v="1"/>
    <n v="8848231000161"/>
  </r>
  <r>
    <x v="1"/>
    <n v="10807984000170"/>
  </r>
  <r>
    <x v="1"/>
    <n v="35845185000110"/>
  </r>
  <r>
    <x v="0"/>
    <n v="27069620000133"/>
  </r>
  <r>
    <x v="1"/>
    <n v="26135158000162"/>
  </r>
  <r>
    <x v="1"/>
    <n v="24520612000173"/>
  </r>
  <r>
    <x v="1"/>
    <n v="38227540000185"/>
  </r>
  <r>
    <x v="1"/>
    <n v="10268661000156"/>
  </r>
  <r>
    <x v="1"/>
    <n v="13437830000122"/>
  </r>
  <r>
    <x v="1"/>
    <n v="1343157000182"/>
  </r>
  <r>
    <x v="1"/>
    <n v="42375391000179"/>
  </r>
  <r>
    <x v="1"/>
    <n v="86960721000169"/>
  </r>
  <r>
    <x v="1"/>
    <n v="6135590000146"/>
  </r>
  <r>
    <x v="1"/>
    <n v="14233397000176"/>
  </r>
  <r>
    <x v="0"/>
    <n v="22712188000133"/>
  </r>
  <r>
    <x v="1"/>
    <n v="16747315000137"/>
  </r>
  <r>
    <x v="1"/>
    <n v="16747315000137"/>
  </r>
  <r>
    <x v="1"/>
    <n v="34314607000168"/>
  </r>
  <r>
    <x v="1"/>
    <n v="43332756000140"/>
  </r>
  <r>
    <x v="1"/>
    <n v="23068420000105"/>
  </r>
  <r>
    <x v="1"/>
    <n v="14883222000104"/>
  </r>
  <r>
    <x v="1"/>
    <n v="34760846000141"/>
  </r>
  <r>
    <x v="0"/>
    <n v="7223878000135"/>
  </r>
  <r>
    <x v="0"/>
    <n v="7342331000159"/>
  </r>
  <r>
    <x v="1"/>
    <n v="10943676000172"/>
  </r>
  <r>
    <x v="1"/>
    <n v="8707061000103"/>
  </r>
  <r>
    <x v="1"/>
    <n v="17234244000131"/>
  </r>
  <r>
    <x v="1"/>
    <n v="24915385000185"/>
  </r>
  <r>
    <x v="1"/>
    <n v="11552312000124"/>
  </r>
  <r>
    <x v="1"/>
    <n v="1491071000105"/>
  </r>
  <r>
    <x v="1"/>
    <n v="14839501000170"/>
  </r>
  <r>
    <x v="1"/>
    <n v="7370836000127"/>
  </r>
  <r>
    <x v="1"/>
    <n v="18754563000130"/>
  </r>
  <r>
    <x v="0"/>
    <n v="15521992000170"/>
  </r>
  <r>
    <x v="0"/>
    <n v="15521992000170"/>
  </r>
  <r>
    <x v="1"/>
    <n v="60741953000132"/>
  </r>
  <r>
    <x v="1"/>
    <n v="60118390000120"/>
  </r>
  <r>
    <x v="1"/>
    <n v="5996122000101"/>
  </r>
  <r>
    <x v="1"/>
    <n v="51476295000108"/>
  </r>
  <r>
    <x v="1"/>
    <n v="24910092000105"/>
  </r>
  <r>
    <x v="1"/>
    <n v="7269707000147"/>
  </r>
  <r>
    <x v="1"/>
    <n v="35285220000193"/>
  </r>
  <r>
    <x v="1"/>
    <n v="7189259000171"/>
  </r>
  <r>
    <x v="1"/>
    <n v="14532265000145"/>
  </r>
  <r>
    <x v="1"/>
    <n v="14532265000145"/>
  </r>
  <r>
    <x v="1"/>
    <n v="7543365000101"/>
  </r>
  <r>
    <x v="1"/>
    <n v="8025389000131"/>
  </r>
  <r>
    <x v="1"/>
    <n v="9322371000164"/>
  </r>
  <r>
    <x v="1"/>
    <n v="5990052000176"/>
  </r>
  <r>
    <x v="1"/>
    <n v="7995104000122"/>
  </r>
  <r>
    <x v="1"/>
    <n v="6101470000128"/>
  </r>
  <r>
    <x v="1"/>
    <n v="14408651000120"/>
  </r>
  <r>
    <x v="1"/>
    <n v="12917053000150"/>
  </r>
  <r>
    <x v="1"/>
    <n v="12917053000150"/>
  </r>
  <r>
    <x v="1"/>
    <n v="10580938000181"/>
  </r>
  <r>
    <x v="0"/>
    <n v="17085624000151"/>
  </r>
  <r>
    <x v="1"/>
    <n v="3446513000119"/>
  </r>
  <r>
    <x v="1"/>
    <n v="2359445000198"/>
  </r>
  <r>
    <x v="1"/>
    <n v="7199061000179"/>
  </r>
  <r>
    <x v="1"/>
    <n v="8985178000140"/>
  </r>
  <r>
    <x v="1"/>
    <n v="29220783000109"/>
  </r>
  <r>
    <x v="0"/>
    <n v="35270346000194"/>
  </r>
  <r>
    <x v="1"/>
    <n v="10970887000102"/>
  </r>
  <r>
    <x v="0"/>
    <n v="1537428000130"/>
  </r>
  <r>
    <x v="1"/>
    <n v="21765067000197"/>
  </r>
  <r>
    <x v="1"/>
    <n v="29219812000104"/>
  </r>
  <r>
    <x v="1"/>
    <n v="8745465000183"/>
  </r>
  <r>
    <x v="1"/>
    <n v="7775361000159"/>
  </r>
  <r>
    <x v="1"/>
    <n v="24718688000108"/>
  </r>
  <r>
    <x v="1"/>
    <n v="69907541000102"/>
  </r>
  <r>
    <x v="0"/>
    <n v="8769549000157"/>
  </r>
  <r>
    <x v="1"/>
    <n v="35364161000149"/>
  </r>
  <r>
    <x v="1"/>
    <n v="4633195000168"/>
  </r>
  <r>
    <x v="1"/>
    <n v="16066888000103"/>
  </r>
  <r>
    <x v="1"/>
    <n v="9070341000108"/>
  </r>
  <r>
    <x v="1"/>
    <n v="7377407000181"/>
  </r>
  <r>
    <x v="1"/>
    <n v="29763291000151"/>
  </r>
  <r>
    <x v="1"/>
    <n v="13441729000145"/>
  </r>
  <r>
    <x v="1"/>
    <n v="21190096000178"/>
  </r>
  <r>
    <x v="1"/>
    <n v="8301904000169"/>
  </r>
  <r>
    <x v="0"/>
    <n v="16314791000164"/>
  </r>
  <r>
    <x v="1"/>
    <n v="3867580000107"/>
  </r>
  <r>
    <x v="1"/>
    <n v="10592109000119"/>
  </r>
  <r>
    <x v="1"/>
    <n v="11258473000100"/>
  </r>
  <r>
    <x v="1"/>
    <n v="9652056000103"/>
  </r>
  <r>
    <x v="1"/>
    <n v="25100223000151"/>
  </r>
  <r>
    <x v="1"/>
    <n v="22625698000173"/>
  </r>
  <r>
    <x v="1"/>
    <n v="22625698000173"/>
  </r>
  <r>
    <x v="0"/>
    <n v="23909392000101"/>
  </r>
  <r>
    <x v="1"/>
    <n v="42994724000148"/>
  </r>
  <r>
    <x v="1"/>
    <n v="96825575000112"/>
  </r>
  <r>
    <x v="1"/>
    <n v="17327576000160"/>
  </r>
  <r>
    <x v="0"/>
    <n v="9444141000178"/>
  </r>
  <r>
    <x v="1"/>
    <n v="15565840000179"/>
  </r>
  <r>
    <x v="1"/>
    <n v="24717921000138"/>
  </r>
  <r>
    <x v="0"/>
    <n v="12900846000167"/>
  </r>
  <r>
    <x v="0"/>
    <n v="20155999000155"/>
  </r>
  <r>
    <x v="0"/>
    <n v="32625733000108"/>
  </r>
  <r>
    <x v="1"/>
    <n v="13332013000100"/>
  </r>
  <r>
    <x v="1"/>
    <n v="15101228000145"/>
  </r>
  <r>
    <x v="1"/>
    <n v="12147259000149"/>
  </r>
  <r>
    <x v="1"/>
    <n v="28492544000137"/>
  </r>
  <r>
    <x v="1"/>
    <n v="8294859000162"/>
  </r>
  <r>
    <x v="1"/>
    <n v="8775225000121"/>
  </r>
  <r>
    <x v="1"/>
    <n v="71154462000101"/>
  </r>
  <r>
    <x v="1"/>
    <n v="11949412000199"/>
  </r>
  <r>
    <x v="1"/>
    <n v="3220264000149"/>
  </r>
  <r>
    <x v="0"/>
    <n v="5763642000166"/>
  </r>
  <r>
    <x v="1"/>
    <n v="14625425000109"/>
  </r>
  <r>
    <x v="1"/>
    <n v="3777357000179"/>
  </r>
  <r>
    <x v="1"/>
    <n v="4915315000110"/>
  </r>
  <r>
    <x v="1"/>
    <n v="17062517000108"/>
  </r>
  <r>
    <x v="1"/>
    <n v="7287199000120"/>
  </r>
  <r>
    <x v="1"/>
    <n v="25103257000108"/>
  </r>
  <r>
    <x v="1"/>
    <n v="6059373000114"/>
  </r>
  <r>
    <x v="1"/>
    <n v="4654218000110"/>
  </r>
  <r>
    <x v="1"/>
    <n v="18385794000114"/>
  </r>
  <r>
    <x v="1"/>
    <n v="66455536000100"/>
  </r>
  <r>
    <x v="1"/>
    <n v="9261302000198"/>
  </r>
  <r>
    <x v="1"/>
    <n v="30754601000150"/>
  </r>
  <r>
    <x v="1"/>
    <n v="7022330000127"/>
  </r>
  <r>
    <x v="0"/>
    <n v="7433647000156"/>
  </r>
  <r>
    <x v="1"/>
    <n v="42276907000128"/>
  </r>
  <r>
    <x v="1"/>
    <n v="42276907000128"/>
  </r>
  <r>
    <x v="1"/>
    <n v="50811709000145"/>
  </r>
  <r>
    <x v="1"/>
    <n v="13642117000110"/>
  </r>
  <r>
    <x v="0"/>
    <n v="43854116000109"/>
  </r>
  <r>
    <x v="1"/>
    <n v="5151226000107"/>
  </r>
  <r>
    <x v="0"/>
    <n v="86613403000121"/>
  </r>
  <r>
    <x v="0"/>
    <n v="86613403000121"/>
  </r>
  <r>
    <x v="0"/>
    <n v="17215039000129"/>
  </r>
  <r>
    <x v="1"/>
    <n v="14429795000162"/>
  </r>
  <r>
    <x v="1"/>
    <n v="21382943000104"/>
  </r>
  <r>
    <x v="1"/>
    <n v="21382943000104"/>
  </r>
  <r>
    <x v="1"/>
    <n v="8875763000783"/>
  </r>
  <r>
    <x v="1"/>
    <n v="7672060000108"/>
  </r>
  <r>
    <x v="1"/>
    <n v="14271042000171"/>
  </r>
  <r>
    <x v="1"/>
    <n v="11312768000117"/>
  </r>
  <r>
    <x v="0"/>
    <n v="66702325000124"/>
  </r>
  <r>
    <x v="0"/>
    <n v="66702325000124"/>
  </r>
  <r>
    <x v="0"/>
    <n v="20468310000142"/>
  </r>
  <r>
    <x v="0"/>
    <n v="20468310000142"/>
  </r>
  <r>
    <x v="0"/>
    <n v="10173996000190"/>
  </r>
  <r>
    <x v="1"/>
    <n v="23864838000129"/>
  </r>
  <r>
    <x v="1"/>
    <n v="17182742000188"/>
  </r>
  <r>
    <x v="1"/>
    <n v="21545694000112"/>
  </r>
  <r>
    <x v="1"/>
    <n v="10554902000123"/>
  </r>
  <r>
    <x v="1"/>
    <n v="40579894000130"/>
  </r>
  <r>
    <x v="0"/>
    <n v="36538565000174"/>
  </r>
  <r>
    <x v="1"/>
    <n v="1374153000161"/>
  </r>
  <r>
    <x v="1"/>
    <n v="1374153000161"/>
  </r>
  <r>
    <x v="0"/>
    <n v="26386235000157"/>
  </r>
  <r>
    <x v="0"/>
    <n v="65153090000104"/>
  </r>
  <r>
    <x v="1"/>
    <n v="7837315000137"/>
  </r>
  <r>
    <x v="1"/>
    <n v="11501873000102"/>
  </r>
  <r>
    <x v="1"/>
    <n v="3098929000193"/>
  </r>
  <r>
    <x v="1"/>
    <n v="950001000105"/>
  </r>
  <r>
    <x v="1"/>
    <n v="30408492000110"/>
  </r>
  <r>
    <x v="1"/>
    <n v="30408492000110"/>
  </r>
  <r>
    <x v="1"/>
    <n v="47520037000104"/>
  </r>
  <r>
    <x v="1"/>
    <n v="3447983000105"/>
  </r>
  <r>
    <x v="1"/>
    <n v="13447924000182"/>
  </r>
  <r>
    <x v="1"/>
    <n v="28654299000117"/>
  </r>
  <r>
    <x v="1"/>
    <n v="28654299000117"/>
  </r>
  <r>
    <x v="1"/>
    <n v="7275520000156"/>
  </r>
  <r>
    <x v="1"/>
    <n v="7275520000156"/>
  </r>
  <r>
    <x v="1"/>
    <n v="22045683000136"/>
  </r>
  <r>
    <x v="1"/>
    <n v="31852609000112"/>
  </r>
  <r>
    <x v="1"/>
    <n v="31852609000112"/>
  </r>
  <r>
    <x v="1"/>
    <n v="39488901000100"/>
  </r>
  <r>
    <x v="1"/>
    <n v="13360985000108"/>
  </r>
  <r>
    <x v="1"/>
    <n v="40281568000142"/>
  </r>
  <r>
    <x v="1"/>
    <n v="7744919000139"/>
  </r>
  <r>
    <x v="1"/>
    <n v="34585275000237"/>
  </r>
  <r>
    <x v="1"/>
    <n v="9452900000144"/>
  </r>
  <r>
    <x v="1"/>
    <n v="27487297000118"/>
  </r>
  <r>
    <x v="1"/>
    <n v="13902480000128"/>
  </r>
  <r>
    <x v="1"/>
    <n v="32466732000168"/>
  </r>
  <r>
    <x v="1"/>
    <n v="5593147000156"/>
  </r>
  <r>
    <x v="0"/>
    <n v="32492373000113"/>
  </r>
  <r>
    <x v="1"/>
    <n v="32429373000113"/>
  </r>
  <r>
    <x v="1"/>
    <n v="18899804000130"/>
  </r>
  <r>
    <x v="1"/>
    <n v="10750264000116"/>
  </r>
  <r>
    <x v="1"/>
    <n v="17524342000103"/>
  </r>
  <r>
    <x v="1"/>
    <n v="4838701000155"/>
  </r>
  <r>
    <x v="1"/>
    <n v="17803300000101"/>
  </r>
  <r>
    <x v="1"/>
    <n v="19352454000150"/>
  </r>
  <r>
    <x v="1"/>
    <n v="54177877000181"/>
  </r>
  <r>
    <x v="1"/>
    <n v="29090318000192"/>
  </r>
  <r>
    <x v="1"/>
    <n v="21099258000167"/>
  </r>
  <r>
    <x v="1"/>
    <n v="28327069000143"/>
  </r>
  <r>
    <x v="1"/>
    <n v="43456021000129"/>
  </r>
  <r>
    <x v="1"/>
    <n v="4626426000106"/>
  </r>
  <r>
    <x v="1"/>
    <n v="32681371000172"/>
  </r>
  <r>
    <x v="1"/>
    <n v="41905203000104"/>
  </r>
  <r>
    <x v="1"/>
    <n v="41905203000104"/>
  </r>
  <r>
    <x v="1"/>
    <n v="7895102000161"/>
  </r>
  <r>
    <x v="1"/>
    <n v="5551878000139"/>
  </r>
  <r>
    <x v="1"/>
    <n v="5214772000140"/>
  </r>
  <r>
    <x v="1"/>
    <n v="33570797000111"/>
  </r>
  <r>
    <x v="1"/>
    <n v="33570797000111"/>
  </r>
  <r>
    <x v="1"/>
    <n v="1117975000167"/>
  </r>
  <r>
    <x v="1"/>
    <n v="3797837000100"/>
  </r>
  <r>
    <x v="1"/>
    <n v="2565955000111"/>
  </r>
  <r>
    <x v="1"/>
    <n v="2394276000127"/>
  </r>
  <r>
    <x v="1"/>
    <n v="44832588000115"/>
  </r>
  <r>
    <x v="1"/>
    <n v="11010481000132"/>
  </r>
  <r>
    <x v="1"/>
    <n v="11010481000132"/>
  </r>
  <r>
    <x v="1"/>
    <n v="25284506000109"/>
  </r>
  <r>
    <x v="1"/>
    <n v="12117414000184"/>
  </r>
  <r>
    <x v="1"/>
    <n v="1512675000182"/>
  </r>
  <r>
    <x v="1"/>
    <n v="30840927000109"/>
  </r>
  <r>
    <x v="1"/>
    <n v="27113589000190"/>
  </r>
  <r>
    <x v="1"/>
    <n v="3686915000190"/>
  </r>
  <r>
    <x v="1"/>
    <n v="31864044000193"/>
  </r>
  <r>
    <x v="1"/>
    <n v="33489352000101"/>
  </r>
  <r>
    <x v="1"/>
    <n v="5753265000184"/>
  </r>
  <r>
    <x v="1"/>
    <n v="7575651000159"/>
  </r>
  <r>
    <x v="1"/>
    <n v="3094658000106"/>
  </r>
  <r>
    <x v="1"/>
    <n v="12064608000169"/>
  </r>
  <r>
    <x v="1"/>
    <n v="30870323000105"/>
  </r>
  <r>
    <x v="0"/>
    <n v="5119453000155"/>
  </r>
  <r>
    <x v="1"/>
    <n v="14311121000169"/>
  </r>
  <r>
    <x v="0"/>
    <n v="43145945000104"/>
  </r>
  <r>
    <x v="1"/>
    <n v="5303255000147"/>
  </r>
  <r>
    <x v="0"/>
    <n v="39893623000176"/>
  </r>
  <r>
    <x v="1"/>
    <n v="7336935000192"/>
  </r>
  <r>
    <x v="0"/>
    <n v="4210356000100"/>
  </r>
  <r>
    <x v="1"/>
    <n v="7047740000122"/>
  </r>
  <r>
    <x v="1"/>
    <n v="780616000122"/>
  </r>
  <r>
    <x v="1"/>
    <n v="43998509000188"/>
  </r>
  <r>
    <x v="1"/>
    <n v="3113442000132"/>
  </r>
  <r>
    <x v="1"/>
    <n v="11567225000140"/>
  </r>
  <r>
    <x v="1"/>
    <n v="4193936000137"/>
  </r>
  <r>
    <x v="1"/>
    <n v="10803792000196"/>
  </r>
  <r>
    <x v="1"/>
    <n v="5679491000162"/>
  </r>
  <r>
    <x v="1"/>
    <n v="40411720000164"/>
  </r>
  <r>
    <x v="1"/>
    <n v="34352080000166"/>
  </r>
  <r>
    <x v="1"/>
    <n v="19142826000113"/>
  </r>
  <r>
    <x v="1"/>
    <n v="11079429000132"/>
  </r>
  <r>
    <x v="1"/>
    <n v="6185738000157"/>
  </r>
  <r>
    <x v="1"/>
    <n v="3645340000168"/>
  </r>
  <r>
    <x v="1"/>
    <n v="7244182000195"/>
  </r>
  <r>
    <x v="0"/>
    <n v="33127002000103"/>
  </r>
  <r>
    <x v="1"/>
    <n v="33592510000154"/>
  </r>
  <r>
    <x v="1"/>
    <n v="4095454000144"/>
  </r>
  <r>
    <x v="0"/>
    <n v="73670044000100"/>
  </r>
  <r>
    <x v="1"/>
    <n v="29548732000100"/>
  </r>
  <r>
    <x v="1"/>
    <n v="2567192000148"/>
  </r>
  <r>
    <x v="1"/>
    <n v="4393356000193"/>
  </r>
  <r>
    <x v="1"/>
    <n v="7381971000178"/>
  </r>
  <r>
    <x v="1"/>
    <n v="3676824000174"/>
  </r>
  <r>
    <x v="1"/>
    <n v="14977687000124"/>
  </r>
  <r>
    <x v="1"/>
    <n v="28675775000186"/>
  </r>
  <r>
    <x v="1"/>
    <n v="28675775000186"/>
  </r>
  <r>
    <x v="1"/>
    <n v="29508637000175"/>
  </r>
  <r>
    <x v="1"/>
    <n v="29508637000175"/>
  </r>
  <r>
    <x v="1"/>
    <n v="42584342000146"/>
  </r>
  <r>
    <x v="0"/>
    <n v="1392043000122"/>
  </r>
  <r>
    <x v="0"/>
    <n v="42598920000101"/>
  </r>
  <r>
    <x v="1"/>
    <n v="185997000100"/>
  </r>
  <r>
    <x v="1"/>
    <n v="26095955000163"/>
  </r>
  <r>
    <x v="0"/>
    <n v="2709449000159"/>
  </r>
  <r>
    <x v="1"/>
    <n v="40261425000179"/>
  </r>
  <r>
    <x v="0"/>
    <n v="68688274000159"/>
  </r>
  <r>
    <x v="0"/>
    <n v="31096068000140"/>
  </r>
  <r>
    <x v="1"/>
    <n v="18527562000153"/>
  </r>
  <r>
    <x v="1"/>
    <n v="1417222000177"/>
  </r>
  <r>
    <x v="1"/>
    <n v="8872264000147"/>
  </r>
  <r>
    <x v="1"/>
    <n v="19465179000180"/>
  </r>
  <r>
    <x v="1"/>
    <n v="9534778000155"/>
  </r>
  <r>
    <x v="1"/>
    <n v="15716762000166"/>
  </r>
  <r>
    <x v="1"/>
    <n v="2155413000170"/>
  </r>
  <r>
    <x v="0"/>
    <n v="42278291000124"/>
  </r>
  <r>
    <x v="0"/>
    <n v="42278291000124"/>
  </r>
  <r>
    <x v="1"/>
    <n v="9584935000137"/>
  </r>
  <r>
    <x v="1"/>
    <n v="3004874000105"/>
  </r>
  <r>
    <x v="0"/>
    <n v="468285000190"/>
  </r>
  <r>
    <x v="1"/>
    <n v="29355260000161"/>
  </r>
  <r>
    <x v="0"/>
    <n v="2612230000137"/>
  </r>
  <r>
    <x v="1"/>
    <n v="22886829000176"/>
  </r>
  <r>
    <x v="0"/>
    <n v="42415810000159"/>
  </r>
  <r>
    <x v="0"/>
    <n v="202759000157"/>
  </r>
  <r>
    <x v="0"/>
    <n v="202759000157"/>
  </r>
  <r>
    <x v="1"/>
    <n v="6184750000147"/>
  </r>
  <r>
    <x v="1"/>
    <n v="29380383000152"/>
  </r>
  <r>
    <x v="1"/>
    <n v="21747073000111"/>
  </r>
  <r>
    <x v="1"/>
    <n v="16831972000168"/>
  </r>
  <r>
    <x v="1"/>
    <n v="51077576000198"/>
  </r>
  <r>
    <x v="0"/>
    <n v="3852972000100"/>
  </r>
  <r>
    <x v="0"/>
    <n v="3852000000000"/>
  </r>
  <r>
    <x v="1"/>
    <n v="21780589000168"/>
  </r>
  <r>
    <x v="0"/>
    <n v="23671660000108"/>
  </r>
  <r>
    <x v="1"/>
    <n v="39231148000172"/>
  </r>
  <r>
    <x v="0"/>
    <n v="29764518000183"/>
  </r>
  <r>
    <x v="1"/>
    <n v="34392693000127"/>
  </r>
  <r>
    <x v="1"/>
    <n v="28483069000132"/>
  </r>
  <r>
    <x v="0"/>
    <n v="10781353000120"/>
  </r>
  <r>
    <x v="1"/>
    <n v="11117204000123"/>
  </r>
  <r>
    <x v="1"/>
    <n v="72316094000113"/>
  </r>
  <r>
    <x v="1"/>
    <n v="37367637000120"/>
  </r>
  <r>
    <x v="1"/>
    <n v="11441000000143"/>
  </r>
  <r>
    <x v="1"/>
    <n v="32240883000101"/>
  </r>
  <r>
    <x v="1"/>
    <n v="4416849000100"/>
  </r>
  <r>
    <x v="1"/>
    <n v="25209002000116"/>
  </r>
  <r>
    <x v="0"/>
    <n v="5332260000188"/>
  </r>
  <r>
    <x v="1"/>
    <n v="163083000130"/>
  </r>
  <r>
    <x v="0"/>
    <n v="1701615000108"/>
  </r>
  <r>
    <x v="1"/>
    <n v="24875190000159"/>
  </r>
  <r>
    <x v="1"/>
    <n v="60526977000179"/>
  </r>
  <r>
    <x v="1"/>
    <n v="12055845000163"/>
  </r>
  <r>
    <x v="1"/>
    <n v="29081265000143"/>
  </r>
  <r>
    <x v="1"/>
    <n v="11964184000126"/>
  </r>
  <r>
    <x v="1"/>
    <n v="12065639000134"/>
  </r>
  <r>
    <x v="1"/>
    <n v="3022122000177"/>
  </r>
  <r>
    <x v="1"/>
    <n v="27641439000150"/>
  </r>
  <r>
    <x v="1"/>
    <n v="6980816000105"/>
  </r>
  <r>
    <x v="1"/>
    <n v="6980816000105"/>
  </r>
  <r>
    <x v="1"/>
    <n v="21557195000145"/>
  </r>
  <r>
    <x v="0"/>
    <n v="3887831000115"/>
  </r>
  <r>
    <x v="1"/>
    <n v="4757830000119"/>
  </r>
  <r>
    <x v="1"/>
    <n v="3147206000137"/>
  </r>
  <r>
    <x v="1"/>
    <n v="40401858000182"/>
  </r>
  <r>
    <x v="0"/>
    <n v="73939449000193"/>
  </r>
  <r>
    <x v="1"/>
    <n v="7312223000133"/>
  </r>
  <r>
    <x v="1"/>
    <n v="7312223000133"/>
  </r>
  <r>
    <x v="1"/>
    <n v="24303324000167"/>
  </r>
  <r>
    <x v="1"/>
    <n v="13655202000113"/>
  </r>
  <r>
    <x v="1"/>
    <n v="11441387000138"/>
  </r>
  <r>
    <x v="1"/>
    <n v="58818022000143"/>
  </r>
  <r>
    <x v="1"/>
    <n v="48900493000142"/>
  </r>
  <r>
    <x v="1"/>
    <n v="44159855000135"/>
  </r>
  <r>
    <x v="1"/>
    <n v="44159855000135"/>
  </r>
  <r>
    <x v="1"/>
    <n v="24315867000102"/>
  </r>
  <r>
    <x v="1"/>
    <n v="10761431000124"/>
  </r>
  <r>
    <x v="1"/>
    <n v="9070606000178"/>
  </r>
  <r>
    <x v="1"/>
    <n v="12698756000135"/>
  </r>
  <r>
    <x v="1"/>
    <n v="41602496000150"/>
  </r>
  <r>
    <x v="1"/>
    <n v="13719780000176"/>
  </r>
  <r>
    <x v="1"/>
    <n v="39431640000191"/>
  </r>
  <r>
    <x v="1"/>
    <n v="33930047000103"/>
  </r>
  <r>
    <x v="1"/>
    <n v="3304310000198"/>
  </r>
  <r>
    <x v="1"/>
    <n v="17980416000116"/>
  </r>
  <r>
    <x v="0"/>
    <n v="54669221000186"/>
  </r>
  <r>
    <x v="1"/>
    <n v="4361599000140"/>
  </r>
  <r>
    <x v="1"/>
    <n v="31389792000161"/>
  </r>
  <r>
    <x v="0"/>
    <n v="54819966000184"/>
  </r>
  <r>
    <x v="1"/>
    <n v="38444081000191"/>
  </r>
  <r>
    <x v="1"/>
    <n v="7985267000124"/>
  </r>
  <r>
    <x v="1"/>
    <n v="9351138000100"/>
  </r>
  <r>
    <x v="1"/>
    <n v="37354295000104"/>
  </r>
  <r>
    <x v="1"/>
    <n v="46416494000190"/>
  </r>
  <r>
    <x v="1"/>
    <n v="74649427000151"/>
  </r>
  <r>
    <x v="1"/>
    <n v="57695405000109"/>
  </r>
  <r>
    <x v="1"/>
    <n v="57189367000112"/>
  </r>
  <r>
    <x v="1"/>
    <n v="15274275000190"/>
  </r>
  <r>
    <x v="0"/>
    <n v="34381823000126"/>
  </r>
  <r>
    <x v="1"/>
    <n v="37804422000120"/>
  </r>
  <r>
    <x v="1"/>
    <n v="19215272000137"/>
  </r>
  <r>
    <x v="0"/>
    <n v="1142882000192"/>
  </r>
  <r>
    <x v="1"/>
    <n v="32818709000195"/>
  </r>
  <r>
    <x v="1"/>
    <n v="2245727000164"/>
  </r>
  <r>
    <x v="1"/>
    <n v="2245727000164"/>
  </r>
  <r>
    <x v="1"/>
    <n v="2245727000164"/>
  </r>
  <r>
    <x v="1"/>
    <n v="2245727000164"/>
  </r>
  <r>
    <x v="1"/>
    <n v="10344209000126"/>
  </r>
  <r>
    <x v="1"/>
    <n v="4356815000169"/>
  </r>
  <r>
    <x v="0"/>
    <n v="1527330000100"/>
  </r>
  <r>
    <x v="0"/>
    <n v="1527330000100"/>
  </r>
  <r>
    <x v="1"/>
    <n v="6235812000100"/>
  </r>
  <r>
    <x v="0"/>
    <n v="10299567000164"/>
  </r>
  <r>
    <x v="0"/>
    <n v="62087309000118"/>
  </r>
  <r>
    <x v="1"/>
    <n v="5613421000101"/>
  </r>
  <r>
    <x v="1"/>
    <n v="10233384000146"/>
  </r>
  <r>
    <x v="1"/>
    <n v="3344937000172"/>
  </r>
  <r>
    <x v="1"/>
    <n v="3344937000172"/>
  </r>
  <r>
    <x v="1"/>
    <n v="9350202000138"/>
  </r>
  <r>
    <x v="1"/>
    <n v="1544197000192"/>
  </r>
  <r>
    <x v="1"/>
    <n v="1610798000156"/>
  </r>
  <r>
    <x v="1"/>
    <n v="1610798000156"/>
  </r>
  <r>
    <x v="1"/>
    <n v="13970839000102"/>
  </r>
  <r>
    <x v="1"/>
    <n v="23266321000138"/>
  </r>
  <r>
    <x v="1"/>
    <n v="4547874000114"/>
  </r>
  <r>
    <x v="1"/>
    <n v="38481737000146"/>
  </r>
  <r>
    <x v="1"/>
    <n v="41947595000174"/>
  </r>
  <r>
    <x v="1"/>
    <n v="39446045000120"/>
  </r>
  <r>
    <x v="1"/>
    <n v="14187611000103"/>
  </r>
  <r>
    <x v="1"/>
    <n v="48740351000165"/>
  </r>
  <r>
    <x v="1"/>
    <n v="48740351000165"/>
  </r>
  <r>
    <x v="1"/>
    <n v="7577114000148"/>
  </r>
  <r>
    <x v="1"/>
    <n v="33810217000116"/>
  </r>
  <r>
    <x v="1"/>
    <n v="5503873000130"/>
  </r>
  <r>
    <x v="1"/>
    <n v="5529929000126"/>
  </r>
  <r>
    <x v="1"/>
    <n v="2038280000152"/>
  </r>
  <r>
    <x v="1"/>
    <n v="11566293000195"/>
  </r>
  <r>
    <x v="1"/>
    <n v="3424341000182"/>
  </r>
  <r>
    <x v="1"/>
    <n v="74271727000140"/>
  </r>
  <r>
    <x v="1"/>
    <n v="20611012000160"/>
  </r>
  <r>
    <x v="1"/>
    <n v="17452926000110"/>
  </r>
  <r>
    <x v="1"/>
    <n v="7546152000133"/>
  </r>
  <r>
    <x v="1"/>
    <n v="7157367000162"/>
  </r>
  <r>
    <x v="1"/>
    <n v="42220983000111"/>
  </r>
  <r>
    <x v="1"/>
    <n v="48060297000107"/>
  </r>
  <r>
    <x v="1"/>
    <n v="44797130000172"/>
  </r>
  <r>
    <x v="1"/>
    <n v="24768036000188"/>
  </r>
  <r>
    <x v="1"/>
    <n v="24768036000188"/>
  </r>
  <r>
    <x v="1"/>
    <n v="28985079000178"/>
  </r>
  <r>
    <x v="1"/>
    <n v="10329139000137"/>
  </r>
  <r>
    <x v="0"/>
    <n v="12136415000176"/>
  </r>
  <r>
    <x v="1"/>
    <n v="8098211000110"/>
  </r>
  <r>
    <x v="1"/>
    <n v="61102778000872"/>
  </r>
  <r>
    <x v="1"/>
    <n v="13407453000189"/>
  </r>
  <r>
    <x v="1"/>
    <n v="8975455000134"/>
  </r>
  <r>
    <x v="1"/>
    <n v="34292222000147"/>
  </r>
  <r>
    <x v="1"/>
    <n v="52438082000154"/>
  </r>
  <r>
    <x v="1"/>
    <n v="52438082000154"/>
  </r>
  <r>
    <x v="0"/>
    <n v="2895964000170"/>
  </r>
  <r>
    <x v="1"/>
    <n v="13762882000255"/>
  </r>
  <r>
    <x v="1"/>
    <n v="60319985000144"/>
  </r>
  <r>
    <x v="1"/>
    <n v="60319985000144"/>
  </r>
  <r>
    <x v="0"/>
    <n v="909998000141"/>
  </r>
  <r>
    <x v="0"/>
    <n v="909998000141"/>
  </r>
  <r>
    <x v="1"/>
    <n v="5342379000131"/>
  </r>
  <r>
    <x v="1"/>
    <n v="10524538000159"/>
  </r>
  <r>
    <x v="1"/>
    <n v="3558055000100"/>
  </r>
  <r>
    <x v="1"/>
    <n v="14702354000192"/>
  </r>
  <r>
    <x v="1"/>
    <n v="39124797000174"/>
  </r>
  <r>
    <x v="0"/>
    <n v="8455211000120"/>
  </r>
  <r>
    <x v="1"/>
    <n v="8165642000152"/>
  </r>
  <r>
    <x v="1"/>
    <n v="10529487000158"/>
  </r>
  <r>
    <x v="1"/>
    <n v="23018893000106"/>
  </r>
  <r>
    <x v="1"/>
    <n v="60541240000125"/>
  </r>
  <r>
    <x v="1"/>
    <n v="7890229000198"/>
  </r>
  <r>
    <x v="1"/>
    <n v="1320674000136"/>
  </r>
  <r>
    <x v="1"/>
    <n v="54556513000102"/>
  </r>
  <r>
    <x v="0"/>
    <n v="44804185000162"/>
  </r>
  <r>
    <x v="1"/>
    <n v="19558802000140"/>
  </r>
  <r>
    <x v="1"/>
    <n v="19558802000140"/>
  </r>
  <r>
    <x v="1"/>
    <n v="62355789000150"/>
  </r>
  <r>
    <x v="1"/>
    <n v="35960202000160"/>
  </r>
  <r>
    <x v="1"/>
    <n v="3271852000101"/>
  </r>
  <r>
    <x v="1"/>
    <n v="18997640000183"/>
  </r>
  <r>
    <x v="1"/>
    <n v="8031404000154"/>
  </r>
  <r>
    <x v="1"/>
    <n v="26862786000140"/>
  </r>
  <r>
    <x v="1"/>
    <n v="26862786000140"/>
  </r>
  <r>
    <x v="1"/>
    <n v="5075152000177"/>
  </r>
  <r>
    <x v="1"/>
    <n v="10198659000239"/>
  </r>
  <r>
    <x v="1"/>
    <n v="29187711000107"/>
  </r>
  <r>
    <x v="1"/>
    <n v="8375242000171"/>
  </r>
  <r>
    <x v="1"/>
    <n v="5366444000169"/>
  </r>
  <r>
    <x v="1"/>
    <n v="50791887000151"/>
  </r>
  <r>
    <x v="1"/>
    <n v="23641864000198"/>
  </r>
  <r>
    <x v="1"/>
    <n v="9498335000156"/>
  </r>
  <r>
    <x v="1"/>
    <n v="9498335000156"/>
  </r>
  <r>
    <x v="1"/>
    <n v="7782318000110"/>
  </r>
  <r>
    <x v="1"/>
    <n v="39366272000145"/>
  </r>
  <r>
    <x v="0"/>
    <n v="14937348000114"/>
  </r>
  <r>
    <x v="0"/>
    <n v="3776089000170"/>
  </r>
  <r>
    <x v="0"/>
    <n v="11807198000136"/>
  </r>
  <r>
    <x v="1"/>
    <n v="24620388000191"/>
  </r>
  <r>
    <x v="1"/>
    <n v="24620388000191"/>
  </r>
  <r>
    <x v="0"/>
    <n v="11835127000147"/>
  </r>
  <r>
    <x v="0"/>
    <n v="11835127000147"/>
  </r>
  <r>
    <x v="0"/>
    <n v="43368422000127"/>
  </r>
  <r>
    <x v="0"/>
    <n v="43368422000127"/>
  </r>
  <r>
    <x v="1"/>
    <n v="7259339000156"/>
  </r>
  <r>
    <x v="1"/>
    <n v="7259339000156"/>
  </r>
  <r>
    <x v="1"/>
    <n v="31750496000144"/>
  </r>
  <r>
    <x v="1"/>
    <n v="30010218000198"/>
  </r>
  <r>
    <x v="0"/>
    <n v="13982346000184"/>
  </r>
  <r>
    <x v="0"/>
    <n v="4019475000180"/>
  </r>
  <r>
    <x v="0"/>
    <n v="52134798000168"/>
  </r>
  <r>
    <x v="1"/>
    <n v="4212218000160"/>
  </r>
  <r>
    <x v="1"/>
    <n v="73089617000107"/>
  </r>
  <r>
    <x v="1"/>
    <n v="13762882000174"/>
  </r>
  <r>
    <x v="1"/>
    <n v="42970999000141"/>
  </r>
  <r>
    <x v="1"/>
    <n v="4654989000108"/>
  </r>
  <r>
    <x v="1"/>
    <n v="13000000000000"/>
  </r>
  <r>
    <x v="1"/>
    <n v="50935436000140"/>
  </r>
  <r>
    <x v="1"/>
    <n v="68316801000102"/>
  </r>
  <r>
    <x v="1"/>
    <n v="51485274000159"/>
  </r>
  <r>
    <x v="1"/>
    <n v="321584000105"/>
  </r>
  <r>
    <x v="1"/>
    <n v="321584000105"/>
  </r>
  <r>
    <x v="1"/>
    <n v="67174185000121"/>
  </r>
  <r>
    <x v="1"/>
    <n v="19504553000100"/>
  </r>
  <r>
    <x v="1"/>
    <n v="13520755000169"/>
  </r>
  <r>
    <x v="1"/>
    <n v="15136125000110"/>
  </r>
  <r>
    <x v="1"/>
    <n v="18023962000121"/>
  </r>
  <r>
    <x v="1"/>
    <n v="1014373000184"/>
  </r>
  <r>
    <x v="1"/>
    <n v="15121491000953"/>
  </r>
  <r>
    <x v="0"/>
    <n v="7284039000127"/>
  </r>
  <r>
    <x v="1"/>
    <n v="5886614000136"/>
  </r>
  <r>
    <x v="1"/>
    <n v="669395000110"/>
  </r>
  <r>
    <x v="1"/>
    <n v="60910775000126"/>
  </r>
  <r>
    <x v="1"/>
    <n v="20121850000155"/>
  </r>
  <r>
    <x v="1"/>
    <n v="36674010000150"/>
  </r>
  <r>
    <x v="1"/>
    <n v="29425065000160"/>
  </r>
  <r>
    <x v="0"/>
    <n v="9558301000100"/>
  </r>
  <r>
    <x v="1"/>
    <n v="46961303000171"/>
  </r>
  <r>
    <x v="1"/>
    <n v="21329965000100"/>
  </r>
  <r>
    <x v="0"/>
    <n v="13272177000199"/>
  </r>
  <r>
    <x v="0"/>
    <n v="9341293000145"/>
  </r>
  <r>
    <x v="0"/>
    <n v="9341293000145"/>
  </r>
  <r>
    <x v="1"/>
    <n v="5117268000121"/>
  </r>
  <r>
    <x v="1"/>
    <n v="22073054000110"/>
  </r>
  <r>
    <x v="1"/>
    <n v="35547205000176"/>
  </r>
  <r>
    <x v="0"/>
    <n v="3006712000106"/>
  </r>
  <r>
    <x v="1"/>
    <n v="4020515000104"/>
  </r>
  <r>
    <x v="1"/>
    <n v="3496334000196"/>
  </r>
  <r>
    <x v="1"/>
    <n v="3496334000196"/>
  </r>
  <r>
    <x v="1"/>
    <n v="4184178000190"/>
  </r>
  <r>
    <x v="1"/>
    <n v="2376381000133"/>
  </r>
  <r>
    <x v="1"/>
    <n v="28492253000149"/>
  </r>
  <r>
    <x v="1"/>
    <n v="8809288000151"/>
  </r>
  <r>
    <x v="1"/>
    <n v="19762315000102"/>
  </r>
  <r>
    <x v="1"/>
    <n v="5922371000144"/>
  </r>
  <r>
    <x v="1"/>
    <n v="11005471000109"/>
  </r>
  <r>
    <x v="0"/>
    <n v="3598524000114"/>
  </r>
  <r>
    <x v="0"/>
    <n v="3598524000114"/>
  </r>
  <r>
    <x v="0"/>
    <n v="1341776000308"/>
  </r>
  <r>
    <x v="0"/>
    <n v="8680888000162"/>
  </r>
  <r>
    <x v="1"/>
    <n v="40410"/>
  </r>
  <r>
    <x v="0"/>
    <n v="2378779000109"/>
  </r>
  <r>
    <x v="0"/>
    <n v="2378779000109"/>
  </r>
  <r>
    <x v="1"/>
    <n v="13591547000150"/>
  </r>
  <r>
    <x v="1"/>
    <n v="2134994000164"/>
  </r>
  <r>
    <x v="1"/>
    <n v="42749306000195"/>
  </r>
  <r>
    <x v="1"/>
    <n v="4190683000148"/>
  </r>
  <r>
    <x v="1"/>
    <n v="45522553000142"/>
  </r>
  <r>
    <x v="1"/>
    <n v="1543841000108"/>
  </r>
  <r>
    <x v="1"/>
    <n v="13692098000137"/>
  </r>
  <r>
    <x v="1"/>
    <n v="23323690000115"/>
  </r>
  <r>
    <x v="1"/>
    <n v="64158165000179"/>
  </r>
  <r>
    <x v="1"/>
    <n v="16692091000103"/>
  </r>
  <r>
    <x v="1"/>
    <n v="68981398000128"/>
  </r>
  <r>
    <x v="0"/>
    <n v="49192362000110"/>
  </r>
  <r>
    <x v="1"/>
    <n v="257058000115"/>
  </r>
  <r>
    <x v="1"/>
    <n v="45557022000195"/>
  </r>
  <r>
    <x v="1"/>
    <n v="10520033000116"/>
  </r>
  <r>
    <x v="0"/>
    <n v="58180316000192"/>
  </r>
  <r>
    <x v="1"/>
    <n v="36628830000105"/>
  </r>
  <r>
    <x v="1"/>
    <n v="7056595000146"/>
  </r>
  <r>
    <x v="0"/>
    <n v="58149782000105"/>
  </r>
  <r>
    <x v="1"/>
    <n v="71550388000142"/>
  </r>
  <r>
    <x v="1"/>
    <n v="97359863000191"/>
  </r>
  <r>
    <x v="1"/>
    <n v="97359863000191"/>
  </r>
  <r>
    <x v="1"/>
    <n v="97359863000191"/>
  </r>
  <r>
    <x v="1"/>
    <n v="4171407000132"/>
  </r>
  <r>
    <x v="0"/>
    <n v="58130089000190"/>
  </r>
  <r>
    <x v="1"/>
    <n v="25205792000161"/>
  </r>
  <r>
    <x v="1"/>
    <n v="8218419000126"/>
  </r>
  <r>
    <x v="1"/>
    <n v="57737264000140"/>
  </r>
  <r>
    <x v="1"/>
    <n v="11316066000101"/>
  </r>
  <r>
    <x v="1"/>
    <n v="4757437000125"/>
  </r>
  <r>
    <x v="1"/>
    <n v="23830039000131"/>
  </r>
  <r>
    <x v="1"/>
    <n v="54834007000138"/>
  </r>
  <r>
    <x v="1"/>
    <n v="54834007000138"/>
  </r>
  <r>
    <x v="1"/>
    <n v="19356008000113"/>
  </r>
  <r>
    <x v="0"/>
    <n v="2805610000198"/>
  </r>
  <r>
    <x v="1"/>
    <n v="28037032000180"/>
  </r>
  <r>
    <x v="0"/>
    <n v="23896429000104"/>
  </r>
  <r>
    <x v="1"/>
    <n v="8973632000143"/>
  </r>
  <r>
    <x v="1"/>
    <n v="4948785000180"/>
  </r>
  <r>
    <x v="1"/>
    <n v="8611138000139"/>
  </r>
  <r>
    <x v="1"/>
    <n v="9423217000189"/>
  </r>
  <r>
    <x v="1"/>
    <n v="4507739000145"/>
  </r>
  <r>
    <x v="1"/>
    <n v="19769981000164"/>
  </r>
  <r>
    <x v="1"/>
    <n v="26578736000135"/>
  </r>
  <r>
    <x v="1"/>
    <n v="4001560000111"/>
  </r>
  <r>
    <x v="0"/>
    <n v="58156084000137"/>
  </r>
  <r>
    <x v="0"/>
    <n v="33611111000193"/>
  </r>
  <r>
    <x v="0"/>
    <n v="57246266000136"/>
  </r>
  <r>
    <x v="1"/>
    <n v="4215000180"/>
  </r>
  <r>
    <x v="1"/>
    <n v="24478169000110"/>
  </r>
  <r>
    <x v="1"/>
    <n v="31448612000175"/>
  </r>
  <r>
    <x v="0"/>
    <n v="7153670000197"/>
  </r>
  <r>
    <x v="1"/>
    <n v="84046101000193"/>
  </r>
  <r>
    <x v="1"/>
    <n v="956633000178"/>
  </r>
  <r>
    <x v="1"/>
    <n v="59267138000102"/>
  </r>
  <r>
    <x v="1"/>
    <n v="7353607000102"/>
  </r>
  <r>
    <x v="1"/>
    <n v="7353607000102"/>
  </r>
  <r>
    <x v="1"/>
    <n v="27096000181"/>
  </r>
  <r>
    <x v="0"/>
    <n v="52247381000101"/>
  </r>
  <r>
    <x v="1"/>
    <n v="4309775000102"/>
  </r>
  <r>
    <x v="1"/>
    <n v="10140658000152"/>
  </r>
  <r>
    <x v="0"/>
    <n v="96407705000105"/>
  </r>
  <r>
    <x v="1"/>
    <n v="7649313000114"/>
  </r>
  <r>
    <x v="1"/>
    <n v="7649313000114"/>
  </r>
  <r>
    <x v="1"/>
    <n v="9629581000108"/>
  </r>
  <r>
    <x v="1"/>
    <n v="24960415000175"/>
  </r>
  <r>
    <x v="1"/>
    <n v="40272996000109"/>
  </r>
  <r>
    <x v="0"/>
    <n v="31527624000195"/>
  </r>
  <r>
    <x v="1"/>
    <n v="31574231000132"/>
  </r>
  <r>
    <x v="1"/>
    <n v="5596162000158"/>
  </r>
  <r>
    <x v="1"/>
    <n v="18982709000103"/>
  </r>
  <r>
    <x v="1"/>
    <n v="1137526000180"/>
  </r>
  <r>
    <x v="1"/>
    <n v="8783287000185"/>
  </r>
  <r>
    <x v="1"/>
    <n v="13227703000107"/>
  </r>
  <r>
    <x v="1"/>
    <n v="37028721000110"/>
  </r>
  <r>
    <x v="0"/>
    <n v="60291275000153"/>
  </r>
  <r>
    <x v="1"/>
    <n v="2366950000160"/>
  </r>
  <r>
    <x v="1"/>
    <n v="8039815000196"/>
  </r>
  <r>
    <x v="1"/>
    <n v="58188756000196"/>
  </r>
  <r>
    <x v="1"/>
    <n v="57027142000160"/>
  </r>
  <r>
    <x v="0"/>
    <n v="29551937000137"/>
  </r>
  <r>
    <x v="1"/>
    <n v="16868113000143"/>
  </r>
  <r>
    <x v="1"/>
    <n v="47469147000199"/>
  </r>
  <r>
    <x v="1"/>
    <n v="36440199000116"/>
  </r>
  <r>
    <x v="1"/>
    <n v="16585219000130"/>
  </r>
  <r>
    <x v="0"/>
    <n v="10674744000145"/>
  </r>
  <r>
    <x v="0"/>
    <n v="1703312000124"/>
  </r>
  <r>
    <x v="1"/>
    <n v="3349915000103"/>
  </r>
  <r>
    <x v="1"/>
    <n v="3349915000103"/>
  </r>
  <r>
    <x v="1"/>
    <n v="4773469000114"/>
  </r>
  <r>
    <x v="1"/>
    <n v="18368389000198"/>
  </r>
  <r>
    <x v="1"/>
    <n v="17848915000154"/>
  </r>
  <r>
    <x v="1"/>
    <n v="17353801000133"/>
  </r>
  <r>
    <x v="1"/>
    <n v="22507975000143"/>
  </r>
  <r>
    <x v="0"/>
    <n v="2351144000118"/>
  </r>
  <r>
    <x v="1"/>
    <n v="2767766000121"/>
  </r>
  <r>
    <x v="0"/>
    <n v="44384832000100"/>
  </r>
  <r>
    <x v="1"/>
    <n v="44384832000124"/>
  </r>
  <r>
    <x v="0"/>
    <n v="19199348000188"/>
  </r>
  <r>
    <x v="0"/>
    <n v="19199348000188"/>
  </r>
  <r>
    <x v="0"/>
    <n v="67599878000166"/>
  </r>
  <r>
    <x v="1"/>
    <n v="4045101000130"/>
  </r>
  <r>
    <x v="1"/>
    <n v="21613553000190"/>
  </r>
  <r>
    <x v="1"/>
    <n v="22677138000162"/>
  </r>
  <r>
    <x v="1"/>
    <n v="66764457000180"/>
  </r>
  <r>
    <x v="1"/>
    <n v="9296130000198"/>
  </r>
  <r>
    <x v="1"/>
    <n v="24108379000116"/>
  </r>
  <r>
    <x v="1"/>
    <n v="5397031000141"/>
  </r>
  <r>
    <x v="1"/>
    <n v="29473259000131"/>
  </r>
  <r>
    <x v="1"/>
    <n v="10466633000143"/>
  </r>
  <r>
    <x v="1"/>
    <n v="9303268000177"/>
  </r>
  <r>
    <x v="1"/>
    <n v="2113305000135"/>
  </r>
  <r>
    <x v="1"/>
    <n v="29652717000108"/>
  </r>
  <r>
    <x v="0"/>
    <n v="28689596000106"/>
  </r>
  <r>
    <x v="1"/>
    <n v="65849838000108"/>
  </r>
  <r>
    <x v="0"/>
    <n v="74357757000173"/>
  </r>
  <r>
    <x v="1"/>
    <n v="33692342000179"/>
  </r>
  <r>
    <x v="1"/>
    <n v="8205713000101"/>
  </r>
  <r>
    <x v="1"/>
    <n v="51595908000126"/>
  </r>
  <r>
    <x v="1"/>
    <n v="7725533000180"/>
  </r>
  <r>
    <x v="0"/>
    <n v="56277197000165"/>
  </r>
  <r>
    <x v="0"/>
    <n v="4658184000132"/>
  </r>
  <r>
    <x v="0"/>
    <n v="4658184000132"/>
  </r>
  <r>
    <x v="1"/>
    <n v="9077252000193"/>
  </r>
  <r>
    <x v="1"/>
    <n v="49009424000106"/>
  </r>
  <r>
    <x v="1"/>
    <n v="59460592000177"/>
  </r>
  <r>
    <x v="0"/>
    <n v="53611828000142"/>
  </r>
  <r>
    <x v="0"/>
    <n v="53611828000142"/>
  </r>
  <r>
    <x v="0"/>
    <n v="53611828000142"/>
  </r>
  <r>
    <x v="1"/>
    <n v="5556159000372"/>
  </r>
  <r>
    <x v="1"/>
    <n v="9352852000112"/>
  </r>
  <r>
    <x v="1"/>
    <n v="4409228000190"/>
  </r>
  <r>
    <x v="1"/>
    <n v="19080345000120"/>
  </r>
  <r>
    <x v="1"/>
    <n v="62227509000129"/>
  </r>
  <r>
    <x v="1"/>
    <n v="62227509000129"/>
  </r>
  <r>
    <x v="1"/>
    <n v="19138649000100"/>
  </r>
  <r>
    <x v="1"/>
    <n v="23661517000127"/>
  </r>
  <r>
    <x v="1"/>
    <n v="12525609000163"/>
  </r>
  <r>
    <x v="1"/>
    <n v="12525609000163"/>
  </r>
  <r>
    <x v="1"/>
    <n v="24197753000105"/>
  </r>
  <r>
    <x v="1"/>
    <n v="45541539000196"/>
  </r>
  <r>
    <x v="1"/>
    <n v="45541539000196"/>
  </r>
  <r>
    <x v="1"/>
    <n v="5336613000118"/>
  </r>
  <r>
    <x v="1"/>
    <n v="16613243000135"/>
  </r>
  <r>
    <x v="1"/>
    <n v="3051284000133"/>
  </r>
  <r>
    <x v="1"/>
    <n v="3051284000133"/>
  </r>
  <r>
    <x v="1"/>
    <n v="24217653000195"/>
  </r>
  <r>
    <x v="1"/>
    <n v="8882133000140"/>
  </r>
  <r>
    <x v="0"/>
    <n v="42581413000157"/>
  </r>
  <r>
    <x v="0"/>
    <n v="33813452000141"/>
  </r>
  <r>
    <x v="0"/>
    <n v="58317751000116"/>
  </r>
  <r>
    <x v="1"/>
    <n v="9538756000163"/>
  </r>
  <r>
    <x v="0"/>
    <n v="69070092000182"/>
  </r>
  <r>
    <x v="1"/>
    <n v="8333099000155"/>
  </r>
  <r>
    <x v="1"/>
    <n v="67035584000101"/>
  </r>
  <r>
    <x v="1"/>
    <n v="52214426000141"/>
  </r>
  <r>
    <x v="0"/>
    <n v="58192345000174"/>
  </r>
  <r>
    <x v="0"/>
    <n v="43053081000109"/>
  </r>
  <r>
    <x v="1"/>
    <n v="12236207000149"/>
  </r>
  <r>
    <x v="1"/>
    <n v="62131248000149"/>
  </r>
  <r>
    <x v="1"/>
    <n v="61139432000172"/>
  </r>
  <r>
    <x v="1"/>
    <n v="39470857000100"/>
  </r>
  <r>
    <x v="1"/>
    <n v="14068428000180"/>
  </r>
  <r>
    <x v="1"/>
    <n v="1661806000193"/>
  </r>
  <r>
    <x v="0"/>
    <n v="12002000000100"/>
  </r>
  <r>
    <x v="1"/>
    <n v="7955244000177"/>
  </r>
  <r>
    <x v="1"/>
    <n v="7955244000177"/>
  </r>
  <r>
    <x v="1"/>
    <n v="5075026000112"/>
  </r>
  <r>
    <x v="1"/>
    <n v="19040228000133"/>
  </r>
  <r>
    <x v="1"/>
    <n v="21197824000173"/>
  </r>
  <r>
    <x v="1"/>
    <n v="9288026000151"/>
  </r>
  <r>
    <x v="1"/>
    <n v="29794317000129"/>
  </r>
  <r>
    <x v="0"/>
    <n v="14990752000151"/>
  </r>
  <r>
    <x v="0"/>
    <n v="14536532000152"/>
  </r>
  <r>
    <x v="1"/>
    <n v="15181688000120"/>
  </r>
  <r>
    <x v="1"/>
    <n v="74155052000173"/>
  </r>
  <r>
    <x v="1"/>
    <n v="21425093000176"/>
  </r>
  <r>
    <x v="1"/>
    <n v="14688220001640"/>
  </r>
  <r>
    <x v="1"/>
    <n v="6897194000156"/>
  </r>
  <r>
    <x v="0"/>
    <n v="60959889000160"/>
  </r>
  <r>
    <x v="1"/>
    <n v="7799674000147"/>
  </r>
  <r>
    <x v="0"/>
    <n v="73475303000134"/>
  </r>
  <r>
    <x v="0"/>
    <n v="95591723000119"/>
  </r>
  <r>
    <x v="1"/>
    <n v="24935218000104"/>
  </r>
  <r>
    <x v="1"/>
    <n v="47705660000131"/>
  </r>
  <r>
    <x v="1"/>
    <n v="1628604000140"/>
  </r>
  <r>
    <x v="1"/>
    <n v="68250067000118"/>
  </r>
  <r>
    <x v="1"/>
    <n v="24574383000170"/>
  </r>
  <r>
    <x v="1"/>
    <n v="24574383000170"/>
  </r>
  <r>
    <x v="1"/>
    <n v="6159434000115"/>
  </r>
  <r>
    <x v="1"/>
    <n v="96178405000193"/>
  </r>
  <r>
    <x v="1"/>
    <n v="2199856000163"/>
  </r>
  <r>
    <x v="1"/>
    <n v="43823079000163"/>
  </r>
  <r>
    <x v="1"/>
    <n v="642552000101"/>
  </r>
  <r>
    <x v="1"/>
    <n v="35912495000100"/>
  </r>
  <r>
    <x v="1"/>
    <n v="14353423000108"/>
  </r>
  <r>
    <x v="1"/>
    <n v="33838907000183"/>
  </r>
  <r>
    <x v="1"/>
    <n v="15060677000192"/>
  </r>
  <r>
    <x v="1"/>
    <n v="15060677000192"/>
  </r>
  <r>
    <x v="1"/>
    <n v="1125797000116"/>
  </r>
  <r>
    <x v="1"/>
    <n v="1125797000116"/>
  </r>
  <r>
    <x v="1"/>
    <n v="3781114000104"/>
  </r>
  <r>
    <x v="0"/>
    <n v="8428626000105"/>
  </r>
  <r>
    <x v="1"/>
    <n v="8902275000122"/>
  </r>
  <r>
    <x v="0"/>
    <n v="3706460000128"/>
  </r>
  <r>
    <x v="1"/>
    <n v="12365000136"/>
  </r>
  <r>
    <x v="1"/>
    <n v="13610140000123"/>
  </r>
  <r>
    <x v="1"/>
    <n v="14249275000178"/>
  </r>
  <r>
    <x v="1"/>
    <n v="7710013000101"/>
  </r>
  <r>
    <x v="1"/>
    <n v="5672864000173"/>
  </r>
  <r>
    <x v="1"/>
    <n v="32190485000110"/>
  </r>
  <r>
    <x v="1"/>
    <n v="10515785000199"/>
  </r>
  <r>
    <x v="1"/>
    <n v="33940034000115"/>
  </r>
  <r>
    <x v="0"/>
    <n v="5908748000100"/>
  </r>
  <r>
    <x v="1"/>
    <n v="28387734000194"/>
  </r>
  <r>
    <x v="0"/>
    <n v="2427026000146"/>
  </r>
  <r>
    <x v="0"/>
    <n v="2427026000146"/>
  </r>
  <r>
    <x v="1"/>
    <n v="31447188000144"/>
  </r>
  <r>
    <x v="0"/>
    <n v="86846847000107"/>
  </r>
  <r>
    <x v="1"/>
    <n v="26074475000116"/>
  </r>
  <r>
    <x v="1"/>
    <n v="10265949000177"/>
  </r>
  <r>
    <x v="1"/>
    <n v="10265949000177"/>
  </r>
  <r>
    <x v="1"/>
    <n v="10265949000177"/>
  </r>
  <r>
    <x v="1"/>
    <n v="2502234000162"/>
  </r>
  <r>
    <x v="1"/>
    <n v="23048581000137"/>
  </r>
  <r>
    <x v="1"/>
    <n v="61145488000130"/>
  </r>
  <r>
    <x v="1"/>
    <n v="17614000186"/>
  </r>
  <r>
    <x v="1"/>
    <n v="54974027000104"/>
  </r>
  <r>
    <x v="0"/>
    <n v="5951386000130"/>
  </r>
  <r>
    <x v="0"/>
    <n v="5951386000130"/>
  </r>
  <r>
    <x v="1"/>
    <n v="22636165000197"/>
  </r>
  <r>
    <x v="0"/>
    <n v="8691713000150"/>
  </r>
  <r>
    <x v="1"/>
    <n v="23785960000100"/>
  </r>
  <r>
    <x v="0"/>
    <n v="3229138000155"/>
  </r>
  <r>
    <x v="1"/>
    <n v="60498706000157"/>
  </r>
  <r>
    <x v="1"/>
    <n v="6196077000165"/>
  </r>
  <r>
    <x v="1"/>
    <n v="26193944000116"/>
  </r>
  <r>
    <x v="1"/>
    <n v="59530832000162"/>
  </r>
  <r>
    <x v="1"/>
    <n v="22326597000100"/>
  </r>
  <r>
    <x v="1"/>
    <n v="3729608000140"/>
  </r>
  <r>
    <x v="1"/>
    <n v="663389000155"/>
  </r>
  <r>
    <x v="0"/>
    <n v="42584754000186"/>
  </r>
  <r>
    <x v="1"/>
    <n v="11158812000186"/>
  </r>
  <r>
    <x v="1"/>
    <n v="3745461000181"/>
  </r>
  <r>
    <x v="1"/>
    <n v="3745461000181"/>
  </r>
  <r>
    <x v="0"/>
    <n v="8813540000104"/>
  </r>
  <r>
    <x v="1"/>
    <n v="52548435000179"/>
  </r>
  <r>
    <x v="1"/>
    <n v="2886427000164"/>
  </r>
  <r>
    <x v="1"/>
    <n v="11666171000170"/>
  </r>
  <r>
    <x v="1"/>
    <n v="945958000155"/>
  </r>
  <r>
    <x v="1"/>
    <n v="945958000155"/>
  </r>
  <r>
    <x v="0"/>
    <n v="52147923000174"/>
  </r>
  <r>
    <x v="1"/>
    <n v="10721342000154"/>
  </r>
  <r>
    <x v="1"/>
    <n v="61288940000112"/>
  </r>
  <r>
    <x v="1"/>
    <n v="61288940000112"/>
  </r>
  <r>
    <x v="0"/>
    <n v="24292471000189"/>
  </r>
  <r>
    <x v="0"/>
    <n v="14820318000123"/>
  </r>
  <r>
    <x v="1"/>
    <n v="8317007000143"/>
  </r>
  <r>
    <x v="1"/>
    <n v="6229799000179"/>
  </r>
  <r>
    <x v="1"/>
    <n v="9366061000141"/>
  </r>
  <r>
    <x v="1"/>
    <n v="7328036000148"/>
  </r>
  <r>
    <x v="1"/>
    <n v="14657460000100"/>
  </r>
  <r>
    <x v="1"/>
    <n v="14657460000100"/>
  </r>
  <r>
    <x v="1"/>
    <n v="10719208000119"/>
  </r>
  <r>
    <x v="1"/>
    <n v="5317708000194"/>
  </r>
  <r>
    <x v="1"/>
    <n v="7066037000161"/>
  </r>
  <r>
    <x v="1"/>
    <n v="5551328000110"/>
  </r>
  <r>
    <x v="1"/>
    <n v="47053481000167"/>
  </r>
  <r>
    <x v="1"/>
    <n v="32886824000105"/>
  </r>
  <r>
    <x v="1"/>
    <n v="15865630000104"/>
  </r>
  <r>
    <x v="1"/>
    <n v="15865630000104"/>
  </r>
  <r>
    <x v="1"/>
    <n v="57692055000127"/>
  </r>
  <r>
    <x v="1"/>
    <n v="7655407000104"/>
  </r>
  <r>
    <x v="1"/>
    <n v="60876265000180"/>
  </r>
  <r>
    <x v="1"/>
    <n v="4142031000138"/>
  </r>
  <r>
    <x v="1"/>
    <n v="21174348000175"/>
  </r>
  <r>
    <x v="0"/>
    <n v="31415174000149"/>
  </r>
  <r>
    <x v="0"/>
    <n v="711083000127"/>
  </r>
  <r>
    <x v="1"/>
    <n v="6315715000110"/>
  </r>
  <r>
    <x v="1"/>
    <n v="28277393000102"/>
  </r>
  <r>
    <x v="0"/>
    <n v="31971321000167"/>
  </r>
  <r>
    <x v="1"/>
    <n v="5221721000145"/>
  </r>
  <r>
    <x v="1"/>
    <n v="14832664000121"/>
  </r>
  <r>
    <x v="0"/>
    <n v="2887124000247"/>
  </r>
  <r>
    <x v="0"/>
    <n v="54048228000180"/>
  </r>
  <r>
    <x v="1"/>
    <n v="8258997000196"/>
  </r>
  <r>
    <x v="1"/>
    <n v="14796754000104"/>
  </r>
  <r>
    <x v="1"/>
    <n v="23643315000152"/>
  </r>
  <r>
    <x v="1"/>
    <n v="963519000175"/>
  </r>
  <r>
    <x v="1"/>
    <n v="26205804000110"/>
  </r>
  <r>
    <x v="1"/>
    <n v="34244976000121"/>
  </r>
  <r>
    <x v="0"/>
    <n v="58890252000113"/>
  </r>
  <r>
    <x v="0"/>
    <n v="58890252000113"/>
  </r>
  <r>
    <x v="1"/>
    <n v="46044913000100"/>
  </r>
  <r>
    <x v="1"/>
    <n v="7176842000148"/>
  </r>
  <r>
    <x v="1"/>
    <n v="7176842000148"/>
  </r>
  <r>
    <x v="1"/>
    <n v="4580801000124"/>
  </r>
  <r>
    <x v="1"/>
    <n v="65494742000166"/>
  </r>
  <r>
    <x v="1"/>
    <n v="5486630000131"/>
  </r>
  <r>
    <x v="1"/>
    <n v="2502844000166"/>
  </r>
  <r>
    <x v="1"/>
    <n v="2502844000166"/>
  </r>
  <r>
    <x v="1"/>
    <n v="34392740000132"/>
  </r>
  <r>
    <x v="1"/>
    <n v="58150087000163"/>
  </r>
  <r>
    <x v="1"/>
    <n v="6106950000181"/>
  </r>
  <r>
    <x v="1"/>
    <n v="18829864000186"/>
  </r>
  <r>
    <x v="1"/>
    <n v="33572408000197"/>
  </r>
  <r>
    <x v="1"/>
    <n v="33572408000197"/>
  </r>
  <r>
    <x v="1"/>
    <n v="39115514000128"/>
  </r>
  <r>
    <x v="1"/>
    <n v="39115514000128"/>
  </r>
  <r>
    <x v="1"/>
    <n v="35825580000130"/>
  </r>
  <r>
    <x v="1"/>
    <n v="14146738000176"/>
  </r>
  <r>
    <x v="0"/>
    <n v="20945067000106"/>
  </r>
  <r>
    <x v="1"/>
    <n v="9174658000194"/>
  </r>
  <r>
    <x v="1"/>
    <n v="26635898000168"/>
  </r>
  <r>
    <x v="1"/>
    <n v="26474159000131"/>
  </r>
  <r>
    <x v="1"/>
    <n v="36113872000103"/>
  </r>
  <r>
    <x v="1"/>
    <n v="28201083000104"/>
  </r>
  <r>
    <x v="1"/>
    <n v="39830947000165"/>
  </r>
  <r>
    <x v="0"/>
    <n v="15387508000161"/>
  </r>
  <r>
    <x v="1"/>
    <n v="10391707000120"/>
  </r>
  <r>
    <x v="0"/>
    <n v="4548589000118"/>
  </r>
  <r>
    <x v="1"/>
    <n v="53886768000170"/>
  </r>
  <r>
    <x v="0"/>
    <n v="9187372000143"/>
  </r>
  <r>
    <x v="1"/>
    <n v="44411353000150"/>
  </r>
  <r>
    <x v="1"/>
    <n v="88668298000153"/>
  </r>
  <r>
    <x v="1"/>
    <n v="3781767000193"/>
  </r>
  <r>
    <x v="1"/>
    <n v="11734901000123"/>
  </r>
  <r>
    <x v="1"/>
    <n v="21657330000124"/>
  </r>
  <r>
    <x v="1"/>
    <n v="18296057000145"/>
  </r>
  <r>
    <x v="1"/>
    <n v="31532157000191"/>
  </r>
  <r>
    <x v="1"/>
    <n v="1738912000128"/>
  </r>
  <r>
    <x v="1"/>
    <n v="25009450000176"/>
  </r>
  <r>
    <x v="1"/>
    <n v="43739026000169"/>
  </r>
  <r>
    <x v="0"/>
    <n v="57598542000125"/>
  </r>
  <r>
    <x v="1"/>
    <n v="46587902000177"/>
  </r>
  <r>
    <x v="1"/>
    <n v="46587902000177"/>
  </r>
  <r>
    <x v="0"/>
    <n v="3096390000133"/>
  </r>
  <r>
    <x v="0"/>
    <n v="84936426000141"/>
  </r>
  <r>
    <x v="0"/>
    <n v="76302157000133"/>
  </r>
  <r>
    <x v="1"/>
    <n v="35506775000118"/>
  </r>
  <r>
    <x v="0"/>
    <n v="31590673000172"/>
  </r>
  <r>
    <x v="1"/>
    <n v="7996749000180"/>
  </r>
  <r>
    <x v="0"/>
    <n v="2387241000160"/>
  </r>
  <r>
    <x v="1"/>
    <n v="7775831000184"/>
  </r>
  <r>
    <x v="0"/>
    <n v="12898982000160"/>
  </r>
  <r>
    <x v="1"/>
    <n v="3020839000180"/>
  </r>
  <r>
    <x v="1"/>
    <n v="79608055000139"/>
  </r>
  <r>
    <x v="1"/>
    <n v="24949709000104"/>
  </r>
  <r>
    <x v="1"/>
    <n v="16733696000103"/>
  </r>
  <r>
    <x v="1"/>
    <n v="7067114000106"/>
  </r>
  <r>
    <x v="1"/>
    <n v="14447169000107"/>
  </r>
  <r>
    <x v="1"/>
    <n v="46699616000101"/>
  </r>
  <r>
    <x v="1"/>
    <n v="13279291000140"/>
  </r>
  <r>
    <x v="1"/>
    <n v="18642238000186"/>
  </r>
  <r>
    <x v="0"/>
    <n v="3307926000112"/>
  </r>
  <r>
    <x v="0"/>
    <n v="3307926000112"/>
  </r>
  <r>
    <x v="1"/>
    <n v="82270711000140"/>
  </r>
  <r>
    <x v="1"/>
    <n v="5596191000110"/>
  </r>
  <r>
    <x v="1"/>
    <n v="22938131000157"/>
  </r>
  <r>
    <x v="1"/>
    <n v="20884061000176"/>
  </r>
  <r>
    <x v="1"/>
    <n v="41432943000170"/>
  </r>
  <r>
    <x v="0"/>
    <n v="43999424000114"/>
  </r>
  <r>
    <x v="0"/>
    <n v="43999424000114"/>
  </r>
  <r>
    <x v="1"/>
    <n v="1258944000126"/>
  </r>
  <r>
    <x v="1"/>
    <n v="1258944000126"/>
  </r>
  <r>
    <x v="1"/>
    <n v="1258944000126"/>
  </r>
  <r>
    <x v="0"/>
    <n v="6182002000125"/>
  </r>
  <r>
    <x v="0"/>
    <n v="6182002000125"/>
  </r>
  <r>
    <x v="0"/>
    <n v="5441096000147"/>
  </r>
  <r>
    <x v="0"/>
    <n v="77945368000157"/>
  </r>
  <r>
    <x v="0"/>
    <n v="77945368000157"/>
  </r>
  <r>
    <x v="1"/>
    <n v="82355629000119"/>
  </r>
  <r>
    <x v="1"/>
    <n v="3286888000169"/>
  </r>
  <r>
    <x v="0"/>
    <n v="5089654000157"/>
  </r>
  <r>
    <x v="0"/>
    <n v="3837329000108"/>
  </r>
  <r>
    <x v="1"/>
    <n v="79139762000123"/>
  </r>
  <r>
    <x v="1"/>
    <n v="12191933000192"/>
  </r>
  <r>
    <x v="1"/>
    <n v="7569161000140"/>
  </r>
  <r>
    <x v="1"/>
    <n v="18151279000170"/>
  </r>
  <r>
    <x v="1"/>
    <n v="81716144000140"/>
  </r>
  <r>
    <x v="0"/>
    <n v="75294801000106"/>
  </r>
  <r>
    <x v="1"/>
    <n v="77024644000144"/>
  </r>
  <r>
    <x v="1"/>
    <n v="18375720000105"/>
  </r>
  <r>
    <x v="1"/>
    <n v="79458584000101"/>
  </r>
  <r>
    <x v="0"/>
    <n v="8808582000149"/>
  </r>
  <r>
    <x v="1"/>
    <n v="28966357000148"/>
  </r>
  <r>
    <x v="1"/>
    <n v="1730135000175"/>
  </r>
  <r>
    <x v="0"/>
    <n v="76416718000125"/>
  </r>
  <r>
    <x v="0"/>
    <n v="1107327000120"/>
  </r>
  <r>
    <x v="0"/>
    <n v="2096806000150"/>
  </r>
  <r>
    <x v="0"/>
    <n v="2096806000150"/>
  </r>
  <r>
    <x v="0"/>
    <n v="80583255000163"/>
  </r>
  <r>
    <x v="0"/>
    <n v="11227828000101"/>
  </r>
  <r>
    <x v="1"/>
    <n v="17932436000111"/>
  </r>
  <r>
    <x v="1"/>
    <n v="27351349000124"/>
  </r>
  <r>
    <x v="1"/>
    <n v="23787980000110"/>
  </r>
  <r>
    <x v="1"/>
    <n v="75703256000164"/>
  </r>
  <r>
    <x v="1"/>
    <n v="31442779000129"/>
  </r>
  <r>
    <x v="1"/>
    <n v="21212202000177"/>
  </r>
  <r>
    <x v="1"/>
    <n v="7658436000111"/>
  </r>
  <r>
    <x v="1"/>
    <n v="25196194000173"/>
  </r>
  <r>
    <x v="1"/>
    <n v="3523549000159"/>
  </r>
  <r>
    <x v="0"/>
    <n v="85155372000140"/>
  </r>
  <r>
    <x v="1"/>
    <n v="74006115000120"/>
  </r>
  <r>
    <x v="0"/>
    <n v="81800849000141"/>
  </r>
  <r>
    <x v="1"/>
    <n v="3362521000187"/>
  </r>
  <r>
    <x v="1"/>
    <n v="31128830000122"/>
  </r>
  <r>
    <x v="1"/>
    <n v="19675338000171"/>
  </r>
  <r>
    <x v="0"/>
    <n v="80475007000107"/>
  </r>
  <r>
    <x v="1"/>
    <n v="50188007000157"/>
  </r>
  <r>
    <x v="1"/>
    <n v="10635834000127"/>
  </r>
  <r>
    <x v="1"/>
    <n v="28327684000150"/>
  </r>
  <r>
    <x v="1"/>
    <n v="14044345000151"/>
  </r>
  <r>
    <x v="1"/>
    <n v="1832166000137"/>
  </r>
  <r>
    <x v="1"/>
    <n v="13753483000147"/>
  </r>
  <r>
    <x v="1"/>
    <n v="23104878000172"/>
  </r>
  <r>
    <x v="1"/>
    <n v="23104878000172"/>
  </r>
  <r>
    <x v="1"/>
    <n v="18164235000184"/>
  </r>
  <r>
    <x v="1"/>
    <n v="11101147000194"/>
  </r>
  <r>
    <x v="0"/>
    <n v="78614229000103"/>
  </r>
  <r>
    <x v="1"/>
    <n v="21372384000143"/>
  </r>
  <r>
    <x v="1"/>
    <n v="19493112000150"/>
  </r>
  <r>
    <x v="1"/>
    <n v="29584183000111"/>
  </r>
  <r>
    <x v="0"/>
    <n v="13872662000101"/>
  </r>
  <r>
    <x v="1"/>
    <n v="12680452000140"/>
  </r>
  <r>
    <x v="1"/>
    <n v="43312110000100"/>
  </r>
  <r>
    <x v="1"/>
    <n v="9211360000107"/>
  </r>
  <r>
    <x v="1"/>
    <n v="18354383000161"/>
  </r>
  <r>
    <x v="1"/>
    <n v="18354383000161"/>
  </r>
  <r>
    <x v="1"/>
    <n v="30080685000194"/>
  </r>
  <r>
    <x v="1"/>
    <n v="8473312000124"/>
  </r>
  <r>
    <x v="1"/>
    <n v="4517940000103"/>
  </r>
  <r>
    <x v="1"/>
    <n v="7720307000106"/>
  </r>
  <r>
    <x v="1"/>
    <n v="10651736000183"/>
  </r>
  <r>
    <x v="1"/>
    <n v="31626973000164"/>
  </r>
  <r>
    <x v="1"/>
    <n v="31626973000164"/>
  </r>
  <r>
    <x v="1"/>
    <n v="43672068000120"/>
  </r>
  <r>
    <x v="1"/>
    <n v="51277418000181"/>
  </r>
  <r>
    <x v="1"/>
    <n v="20976666000197"/>
  </r>
  <r>
    <x v="1"/>
    <n v="19614199000176"/>
  </r>
  <r>
    <x v="1"/>
    <n v="9423645000101"/>
  </r>
  <r>
    <x v="1"/>
    <n v="47009019000162"/>
  </r>
  <r>
    <x v="1"/>
    <n v="36771417000103"/>
  </r>
  <r>
    <x v="1"/>
    <n v="36771417000103"/>
  </r>
  <r>
    <x v="0"/>
    <n v="25408353000156"/>
  </r>
  <r>
    <x v="1"/>
    <n v="14781362000171"/>
  </r>
  <r>
    <x v="1"/>
    <n v="5638569000109"/>
  </r>
  <r>
    <x v="1"/>
    <n v="9265225000144"/>
  </r>
  <r>
    <x v="1"/>
    <n v="31402132000173"/>
  </r>
  <r>
    <x v="1"/>
    <n v="30187943000136"/>
  </r>
  <r>
    <x v="1"/>
    <n v="78663788000103"/>
  </r>
  <r>
    <x v="1"/>
    <n v="6225952000190"/>
  </r>
  <r>
    <x v="1"/>
    <n v="6225952000190"/>
  </r>
  <r>
    <x v="1"/>
    <n v="10403318000177"/>
  </r>
  <r>
    <x v="1"/>
    <n v="8898687000136"/>
  </r>
  <r>
    <x v="1"/>
    <n v="85348407000167"/>
  </r>
  <r>
    <x v="1"/>
    <n v="80739014000160"/>
  </r>
  <r>
    <x v="1"/>
    <n v="7357980000123"/>
  </r>
  <r>
    <x v="1"/>
    <n v="15245792000131"/>
  </r>
  <r>
    <x v="1"/>
    <n v="49551050000156"/>
  </r>
  <r>
    <x v="1"/>
    <n v="37361428000170"/>
  </r>
  <r>
    <x v="1"/>
    <n v="44474613000136"/>
  </r>
  <r>
    <x v="1"/>
    <n v="29461751000197"/>
  </r>
  <r>
    <x v="0"/>
    <n v="73682676000186"/>
  </r>
  <r>
    <x v="1"/>
    <n v="18588671000180"/>
  </r>
  <r>
    <x v="1"/>
    <n v="7628866000190"/>
  </r>
  <r>
    <x v="1"/>
    <n v="19037622000112"/>
  </r>
  <r>
    <x v="0"/>
    <n v="6139591000169"/>
  </r>
  <r>
    <x v="0"/>
    <n v="1554212000183"/>
  </r>
  <r>
    <x v="1"/>
    <n v="47918176000190"/>
  </r>
  <r>
    <x v="1"/>
    <n v="24990245000171"/>
  </r>
  <r>
    <x v="1"/>
    <n v="88081039000121"/>
  </r>
  <r>
    <x v="0"/>
    <n v="389587000172"/>
  </r>
  <r>
    <x v="0"/>
    <n v="94492899000150"/>
  </r>
  <r>
    <x v="1"/>
    <n v="94001641000104"/>
  </r>
  <r>
    <x v="1"/>
    <n v="28803365000173"/>
  </r>
  <r>
    <x v="1"/>
    <n v="7570588000168"/>
  </r>
  <r>
    <x v="0"/>
    <n v="92379726000103"/>
  </r>
  <r>
    <x v="0"/>
    <n v="92379726000103"/>
  </r>
  <r>
    <x v="1"/>
    <n v="13925723000143"/>
  </r>
  <r>
    <x v="1"/>
    <n v="41792167000110"/>
  </r>
  <r>
    <x v="1"/>
    <n v="14307558000129"/>
  </r>
  <r>
    <x v="1"/>
    <n v="29677288000115"/>
  </r>
  <r>
    <x v="1"/>
    <n v="19875292000134"/>
  </r>
  <r>
    <x v="1"/>
    <n v="7407573000183"/>
  </r>
  <r>
    <x v="0"/>
    <n v="88009030000100"/>
  </r>
  <r>
    <x v="1"/>
    <n v="17112478000106"/>
  </r>
  <r>
    <x v="1"/>
    <n v="32734416000120"/>
  </r>
  <r>
    <x v="0"/>
    <n v="90300583000169"/>
  </r>
  <r>
    <x v="1"/>
    <n v="89823918000144"/>
  </r>
  <r>
    <x v="1"/>
    <n v="7348003000160"/>
  </r>
  <r>
    <x v="1"/>
    <n v="31332777000187"/>
  </r>
  <r>
    <x v="1"/>
    <n v="10865872000176"/>
  </r>
  <r>
    <x v="1"/>
    <n v="2463394000140"/>
  </r>
  <r>
    <x v="1"/>
    <n v="702501000110"/>
  </r>
  <r>
    <x v="1"/>
    <n v="26091064000139"/>
  </r>
  <r>
    <x v="1"/>
    <n v="34168068000104"/>
  </r>
  <r>
    <x v="0"/>
    <n v="7784967000150"/>
  </r>
  <r>
    <x v="0"/>
    <n v="7784967000150"/>
  </r>
  <r>
    <x v="1"/>
    <n v="22086483000121"/>
  </r>
  <r>
    <x v="1"/>
    <n v="25144020000167"/>
  </r>
  <r>
    <x v="1"/>
    <n v="29801009000183"/>
  </r>
  <r>
    <x v="0"/>
    <n v="89154041000146"/>
  </r>
  <r>
    <x v="0"/>
    <n v="8490703000157"/>
  </r>
  <r>
    <x v="0"/>
    <n v="8490703000157"/>
  </r>
  <r>
    <x v="1"/>
    <n v="3471254000186"/>
  </r>
  <r>
    <x v="1"/>
    <n v="13091403000135"/>
  </r>
  <r>
    <x v="1"/>
    <n v="88085485000104"/>
  </r>
  <r>
    <x v="1"/>
    <n v="93561108000134"/>
  </r>
  <r>
    <x v="0"/>
    <n v="6208105000117"/>
  </r>
  <r>
    <x v="1"/>
    <n v="7902228000116"/>
  </r>
  <r>
    <x v="1"/>
    <n v="22938787000170"/>
  </r>
  <r>
    <x v="1"/>
    <n v="11274148000130"/>
  </r>
  <r>
    <x v="1"/>
    <n v="23815200000106"/>
  </r>
  <r>
    <x v="1"/>
    <n v="9031864000145"/>
  </r>
  <r>
    <x v="1"/>
    <n v="39283025000185"/>
  </r>
  <r>
    <x v="0"/>
    <n v="7620879000466"/>
  </r>
  <r>
    <x v="1"/>
    <n v="5364263000101"/>
  </r>
  <r>
    <x v="0"/>
    <n v="87689402000123"/>
  </r>
  <r>
    <x v="0"/>
    <n v="92644483000185"/>
  </r>
  <r>
    <x v="1"/>
    <n v="93653830000107"/>
  </r>
  <r>
    <x v="1"/>
    <n v="88246251000100"/>
  </r>
  <r>
    <x v="1"/>
    <n v="193687000129"/>
  </r>
  <r>
    <x v="1"/>
    <n v="15711933000164"/>
  </r>
  <r>
    <x v="1"/>
    <n v="92691609000172"/>
  </r>
  <r>
    <x v="1"/>
    <n v="97434690000129"/>
  </r>
  <r>
    <x v="1"/>
    <n v="7645103000158"/>
  </r>
  <r>
    <x v="1"/>
    <n v="10933098000193"/>
  </r>
  <r>
    <x v="1"/>
    <n v="2600037000186"/>
  </r>
  <r>
    <x v="1"/>
    <n v="20735946000103"/>
  </r>
  <r>
    <x v="1"/>
    <n v="20735946000103"/>
  </r>
  <r>
    <x v="0"/>
    <n v="19950594000120"/>
  </r>
  <r>
    <x v="0"/>
    <n v="33767574000149"/>
  </r>
  <r>
    <x v="0"/>
    <n v="33767574000149"/>
  </r>
  <r>
    <x v="1"/>
    <n v="1708418000110"/>
  </r>
  <r>
    <x v="1"/>
    <n v="90950338000105"/>
  </r>
  <r>
    <x v="1"/>
    <n v="2515128000113"/>
  </r>
  <r>
    <x v="1"/>
    <n v="5591362000118"/>
  </r>
  <r>
    <x v="1"/>
    <n v="32991174000150"/>
  </r>
  <r>
    <x v="1"/>
    <n v="74109828000119"/>
  </r>
  <r>
    <x v="1"/>
    <n v="10787871000150"/>
  </r>
  <r>
    <x v="1"/>
    <n v="74617358000102"/>
  </r>
  <r>
    <x v="1"/>
    <n v="88981139000104"/>
  </r>
  <r>
    <x v="1"/>
    <n v="53101894000172"/>
  </r>
  <r>
    <x v="0"/>
    <n v="1176077000180"/>
  </r>
  <r>
    <x v="1"/>
    <n v="3568819000148"/>
  </r>
  <r>
    <x v="1"/>
    <n v="24875425000102"/>
  </r>
  <r>
    <x v="1"/>
    <n v="18137874000150"/>
  </r>
  <r>
    <x v="0"/>
    <n v="16716247000149"/>
  </r>
  <r>
    <x v="0"/>
    <n v="16716247000149"/>
  </r>
  <r>
    <x v="1"/>
    <n v="7715580000142"/>
  </r>
  <r>
    <x v="1"/>
    <n v="11455829000103"/>
  </r>
  <r>
    <x v="1"/>
    <n v="11455829000103"/>
  </r>
  <r>
    <x v="1"/>
    <n v="10958894000180"/>
  </r>
  <r>
    <x v="0"/>
    <n v="1824740000105"/>
  </r>
  <r>
    <x v="1"/>
    <n v="4762849000153"/>
  </r>
  <r>
    <x v="1"/>
    <n v="47242860000103"/>
  </r>
  <r>
    <x v="0"/>
    <n v="10280806000134"/>
  </r>
  <r>
    <x v="0"/>
    <n v="3861231000188"/>
  </r>
  <r>
    <x v="0"/>
    <n v="78261252000161"/>
  </r>
  <r>
    <x v="1"/>
    <n v="24962466000136"/>
  </r>
  <r>
    <x v="1"/>
    <n v="8858785000140"/>
  </r>
  <r>
    <x v="1"/>
    <n v="5096998000193"/>
  </r>
  <r>
    <x v="1"/>
    <n v="22208815000101"/>
  </r>
  <r>
    <x v="1"/>
    <n v="18834795000107"/>
  </r>
  <r>
    <x v="1"/>
    <n v="10213051000155"/>
  </r>
  <r>
    <x v="0"/>
    <n v="15022154000151"/>
  </r>
  <r>
    <x v="0"/>
    <n v="15022154000151"/>
  </r>
  <r>
    <x v="1"/>
    <n v="63121696000124"/>
  </r>
  <r>
    <x v="1"/>
    <n v="10290784000193"/>
  </r>
  <r>
    <x v="1"/>
    <n v="2218581000168"/>
  </r>
  <r>
    <x v="1"/>
    <n v="11432709000182"/>
  </r>
  <r>
    <x v="1"/>
    <n v="9454434000136"/>
  </r>
  <r>
    <x v="1"/>
    <n v="26594755000155"/>
  </r>
  <r>
    <x v="1"/>
    <n v="10428965000133"/>
  </r>
  <r>
    <x v="1"/>
    <n v="27822236000160"/>
  </r>
  <r>
    <x v="0"/>
    <n v="4283508000103"/>
  </r>
  <r>
    <x v="1"/>
    <n v="9471261000164"/>
  </r>
  <r>
    <x v="1"/>
    <n v="21429811000182"/>
  </r>
  <r>
    <x v="1"/>
    <n v="32095114000159"/>
  </r>
  <r>
    <x v="1"/>
    <n v="45748396000198"/>
  </r>
  <r>
    <x v="0"/>
    <n v="5878120000100"/>
  </r>
  <r>
    <x v="1"/>
    <n v="80671000100"/>
  </r>
  <r>
    <x v="1"/>
    <n v="8289975000193"/>
  </r>
  <r>
    <x v="1"/>
    <n v="16384395000103"/>
  </r>
  <r>
    <x v="0"/>
    <n v="12545741000137"/>
  </r>
  <r>
    <x v="1"/>
    <n v="79053559000130"/>
  </r>
  <r>
    <x v="1"/>
    <n v="2609844000160"/>
  </r>
  <r>
    <x v="1"/>
    <n v="38213388000181"/>
  </r>
  <r>
    <x v="1"/>
    <n v="32677002000106"/>
  </r>
  <r>
    <x v="1"/>
    <n v="10692684000193"/>
  </r>
  <r>
    <x v="1"/>
    <n v="10389861000167"/>
  </r>
  <r>
    <x v="1"/>
    <n v="8355816000140"/>
  </r>
  <r>
    <x v="1"/>
    <n v="32915001000152"/>
  </r>
  <r>
    <x v="1"/>
    <n v="11292432000130"/>
  </r>
  <r>
    <x v="1"/>
    <n v="33373231000108"/>
  </r>
  <r>
    <x v="1"/>
    <n v="14146786000164"/>
  </r>
  <r>
    <x v="0"/>
    <n v="42505083000110"/>
  </r>
  <r>
    <x v="1"/>
    <n v="8489292000180"/>
  </r>
  <r>
    <x v="1"/>
    <n v="21260918000140"/>
  </r>
  <r>
    <x v="1"/>
    <n v="19196536000152"/>
  </r>
  <r>
    <x v="1"/>
    <n v="8944556000148"/>
  </r>
  <r>
    <x v="1"/>
    <n v="3557312000199"/>
  </r>
  <r>
    <x v="1"/>
    <n v="9494407000197"/>
  </r>
  <r>
    <x v="1"/>
    <n v="1989087000134"/>
  </r>
  <r>
    <x v="1"/>
    <n v="13265187000105"/>
  </r>
  <r>
    <x v="1"/>
    <n v="23312012000157"/>
  </r>
  <r>
    <x v="1"/>
    <n v="23999118000170"/>
  </r>
  <r>
    <x v="1"/>
    <n v="23999118000170"/>
  </r>
  <r>
    <x v="1"/>
    <n v="14736152000161"/>
  </r>
  <r>
    <x v="1"/>
    <n v="3627130000147"/>
  </r>
  <r>
    <x v="1"/>
    <n v="37766331000147"/>
  </r>
  <r>
    <x v="1"/>
    <n v="11028793000173"/>
  </r>
  <r>
    <x v="1"/>
    <n v="14953799000145"/>
  </r>
  <r>
    <x v="1"/>
    <n v="1253053000187"/>
  </r>
  <r>
    <x v="1"/>
    <n v="1253053000187"/>
  </r>
  <r>
    <x v="1"/>
    <n v="34028316000103"/>
  </r>
  <r>
    <x v="1"/>
    <n v="23490819000180"/>
  </r>
  <r>
    <x v="1"/>
    <n v="54244430000188"/>
  </r>
  <r>
    <x v="1"/>
    <n v="28449209000156"/>
  </r>
  <r>
    <x v="0"/>
    <n v="1570442000136"/>
  </r>
  <r>
    <x v="1"/>
    <n v="4984295000139"/>
  </r>
  <r>
    <x v="0"/>
    <n v="72447000176"/>
  </r>
  <r>
    <x v="1"/>
    <n v="8290111000191"/>
  </r>
  <r>
    <x v="1"/>
    <n v="25111693000110"/>
  </r>
  <r>
    <x v="1"/>
    <n v="43350037000152"/>
  </r>
  <r>
    <x v="1"/>
    <n v="37142387000120"/>
  </r>
  <r>
    <x v="1"/>
    <n v="5192715000107"/>
  </r>
  <r>
    <x v="1"/>
    <n v="35196765000123"/>
  </r>
  <r>
    <x v="1"/>
    <n v="35196765000123"/>
  </r>
  <r>
    <x v="1"/>
    <n v="40594727000169"/>
  </r>
  <r>
    <x v="1"/>
    <n v="7668895000186"/>
  </r>
  <r>
    <x v="1"/>
    <n v="21526849000173"/>
  </r>
  <r>
    <x v="1"/>
    <n v="8296144000149"/>
  </r>
  <r>
    <x v="1"/>
    <n v="7605506000173"/>
  </r>
  <r>
    <x v="1"/>
    <n v="26435370000145"/>
  </r>
  <r>
    <x v="1"/>
    <n v="502302000168"/>
  </r>
  <r>
    <x v="1"/>
    <n v="32270711000172"/>
  </r>
  <r>
    <x v="1"/>
    <n v="38031555000173"/>
  </r>
  <r>
    <x v="1"/>
    <n v="38029534000113"/>
  </r>
  <r>
    <x v="1"/>
    <n v="27210071000175"/>
  </r>
  <r>
    <x v="0"/>
    <n v="24893687000108"/>
  </r>
  <r>
    <x v="0"/>
    <n v="24893687000108"/>
  </r>
  <r>
    <x v="1"/>
    <n v="27609855000170"/>
  </r>
  <r>
    <x v="0"/>
    <n v="4606250000120"/>
  </r>
  <r>
    <x v="1"/>
    <n v="29202575000179"/>
  </r>
  <r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64" firstHeaderRow="1" firstDataRow="1" firstDataCol="1" rowPageCount="1" colPageCount="1"/>
  <pivotFields count="2">
    <pivotField axis="axisRow"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axis="axisPage" dataField="1" multipleItemSelectionAllowed="1" showAll="0">
      <items count="28">
        <item h="1" x="12"/>
        <item h="1" x="4"/>
        <item h="1" x="14"/>
        <item h="1" x="23"/>
        <item h="1" x="18"/>
        <item x="1"/>
        <item h="1" x="25"/>
        <item h="1" x="2"/>
        <item h="1" x="16"/>
        <item h="1" x="24"/>
        <item h="1" x="26"/>
        <item h="1" x="11"/>
        <item h="1" x="6"/>
        <item h="1" x="20"/>
        <item h="1" x="21"/>
        <item h="1" x="17"/>
        <item h="1" x="0"/>
        <item h="1" x="7"/>
        <item h="1" x="19"/>
        <item h="1" x="8"/>
        <item h="1" x="13"/>
        <item h="1" x="9"/>
        <item h="1" x="10"/>
        <item h="1" x="22"/>
        <item h="1" x="3"/>
        <item h="1" x="15"/>
        <item h="1" x="5"/>
        <item t="default"/>
      </items>
    </pivotField>
  </pivotFields>
  <rowFields count="1">
    <field x="0"/>
  </rowFields>
  <rowItems count="61">
    <i>
      <x v="1"/>
    </i>
    <i>
      <x v="2"/>
    </i>
    <i>
      <x v="6"/>
    </i>
    <i>
      <x v="7"/>
    </i>
    <i>
      <x v="16"/>
    </i>
    <i>
      <x v="18"/>
    </i>
    <i>
      <x v="19"/>
    </i>
    <i>
      <x v="48"/>
    </i>
    <i>
      <x v="64"/>
    </i>
    <i>
      <x v="65"/>
    </i>
    <i>
      <x v="92"/>
    </i>
    <i>
      <x v="157"/>
    </i>
    <i>
      <x v="189"/>
    </i>
    <i>
      <x v="190"/>
    </i>
    <i>
      <x v="201"/>
    </i>
    <i>
      <x v="210"/>
    </i>
    <i>
      <x v="214"/>
    </i>
    <i>
      <x v="223"/>
    </i>
    <i>
      <x v="243"/>
    </i>
    <i>
      <x v="247"/>
    </i>
    <i>
      <x v="288"/>
    </i>
    <i>
      <x v="299"/>
    </i>
    <i>
      <x v="305"/>
    </i>
    <i>
      <x v="312"/>
    </i>
    <i>
      <x v="324"/>
    </i>
    <i>
      <x v="371"/>
    </i>
    <i>
      <x v="376"/>
    </i>
    <i>
      <x v="418"/>
    </i>
    <i>
      <x v="581"/>
    </i>
    <i>
      <x v="590"/>
    </i>
    <i>
      <x v="653"/>
    </i>
    <i>
      <x v="686"/>
    </i>
    <i>
      <x v="698"/>
    </i>
    <i>
      <x v="713"/>
    </i>
    <i>
      <x v="722"/>
    </i>
    <i>
      <x v="723"/>
    </i>
    <i>
      <x v="768"/>
    </i>
    <i>
      <x v="789"/>
    </i>
    <i>
      <x v="804"/>
    </i>
    <i>
      <x v="817"/>
    </i>
    <i>
      <x v="867"/>
    </i>
    <i>
      <x v="880"/>
    </i>
    <i>
      <x v="900"/>
    </i>
    <i>
      <x v="905"/>
    </i>
    <i>
      <x v="911"/>
    </i>
    <i>
      <x v="931"/>
    </i>
    <i>
      <x v="952"/>
    </i>
    <i>
      <x v="995"/>
    </i>
    <i>
      <x v="1004"/>
    </i>
    <i>
      <x v="1029"/>
    </i>
    <i>
      <x v="1125"/>
    </i>
    <i>
      <x v="1141"/>
    </i>
    <i>
      <x v="1152"/>
    </i>
    <i>
      <x v="1158"/>
    </i>
    <i>
      <x v="1183"/>
    </i>
    <i>
      <x v="1187"/>
    </i>
    <i>
      <x v="1188"/>
    </i>
    <i>
      <x v="1235"/>
    </i>
    <i>
      <x v="1240"/>
    </i>
    <i>
      <x v="1267"/>
    </i>
    <i t="grand">
      <x/>
    </i>
  </rowItems>
  <colItems count="1">
    <i/>
  </colItems>
  <pageFields count="1">
    <pageField fld="1" hier="-1"/>
  </pageFields>
  <dataFields count="1">
    <dataField name="Contagem de uf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E3" firstHeaderRow="1" firstDataRow="2" firstDataCol="1"/>
  <pivotFields count="2">
    <pivotField axis="axisCol" showAll="0">
      <items count="4">
        <item x="1"/>
        <item x="0"/>
        <item x="2"/>
        <item t="default"/>
      </items>
    </pivotField>
    <pivotField dataField="1" showAl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ntagem de cnpj" fld="1" subtotal="count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dataOnly="0" labelOnly="1" outline="0" axis="axisValues" fieldPosition="0"/>
    </format>
    <format dxfId="7">
      <pivotArea field="0" type="button" dataOnly="0" labelOnly="1" outline="0" axis="axisCol" fieldPosition="0"/>
    </format>
    <format dxfId="6">
      <pivotArea type="topRight" dataOnly="0" labelOnly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type="origin" dataOnly="0" labelOnly="1" outline="0" fieldPosition="0"/>
    </format>
    <format dxfId="2">
      <pivotArea dataOnly="0" labelOnly="1" outline="0" axis="axisValues" fieldPosition="0"/>
    </format>
    <format dxfId="1">
      <pivotArea field="0" type="button" dataOnly="0" labelOnly="1" outline="0" axis="axisCol" fieldPosition="0"/>
    </format>
    <format dxfId="0">
      <pivotArea type="topRight" dataOnly="0" labelOnly="1" outline="0" fieldPosition="0"/>
    </format>
  </formats>
  <chartFormats count="3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1:O1383" totalsRowShown="0">
  <autoFilter ref="A1:O1383"/>
  <tableColumns count="15">
    <tableColumn id="1" name="pais_de_origem"/>
    <tableColumn id="2" name="razao_social"/>
    <tableColumn id="3" name="cnpj" dataDxfId="13"/>
    <tableColumn id="4" name="logradouro"/>
    <tableColumn id="5" name="cidade"/>
    <tableColumn id="6" name="uf"/>
    <tableColumn id="7" name="cep"/>
    <tableColumn id="8" name="e_mail"/>
    <tableColumn id="9" name="cotm"/>
    <tableColumn id="10" name="adesao_ao_decreto_1563_95"/>
    <tableColumn id="11" name="vigencia dia"/>
    <tableColumn id="12" name="vigencia mês"/>
    <tableColumn id="13" name="vigencia ano"/>
    <tableColumn id="14" name="Coluna1"/>
    <tableColumn id="15" name="data" dataDxfId="12">
      <calculatedColumnFormula>DATE(Tabela1[[#This Row],[vigencia ano]],Tabela1[[#This Row],[vigencia mês]],Tabela1[[#This Row],[vigencia dia]])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3"/>
  <sheetViews>
    <sheetView topLeftCell="C1" workbookViewId="0">
      <selection activeCell="C1" sqref="C1:C1048576"/>
    </sheetView>
  </sheetViews>
  <sheetFormatPr defaultRowHeight="15" x14ac:dyDescent="0.25"/>
  <cols>
    <col min="1" max="1" width="17.28515625" customWidth="1"/>
    <col min="2" max="2" width="72.85546875" customWidth="1"/>
    <col min="3" max="3" width="16.140625" style="1" customWidth="1"/>
    <col min="4" max="4" width="82.140625" customWidth="1"/>
    <col min="5" max="5" width="23" customWidth="1"/>
    <col min="6" max="6" width="5.28515625" customWidth="1"/>
    <col min="7" max="7" width="14.5703125" customWidth="1"/>
    <col min="8" max="8" width="39.85546875" customWidth="1"/>
    <col min="9" max="9" width="11.7109375" customWidth="1"/>
    <col min="10" max="10" width="28.42578125" customWidth="1"/>
    <col min="11" max="11" width="13.5703125" customWidth="1"/>
    <col min="12" max="12" width="14.5703125" customWidth="1"/>
    <col min="13" max="13" width="14.140625" customWidth="1"/>
    <col min="14" max="14" width="15.42578125" customWidth="1"/>
    <col min="15" max="15" width="12.85546875" customWidth="1"/>
  </cols>
  <sheetData>
    <row r="1" spans="1:15" x14ac:dyDescent="0.25">
      <c r="A1" s="3" t="s">
        <v>27</v>
      </c>
      <c r="B1" s="3" t="s">
        <v>28</v>
      </c>
      <c r="C1" s="4" t="s">
        <v>29</v>
      </c>
      <c r="D1" s="3" t="s">
        <v>30</v>
      </c>
      <c r="E1" s="3" t="s">
        <v>31</v>
      </c>
      <c r="F1" s="2" t="s">
        <v>0</v>
      </c>
      <c r="G1" s="3" t="s">
        <v>32</v>
      </c>
      <c r="H1" s="3" t="s">
        <v>33</v>
      </c>
      <c r="I1" s="3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</row>
    <row r="2" spans="1:15" x14ac:dyDescent="0.25">
      <c r="A2" t="s">
        <v>41</v>
      </c>
      <c r="B2" t="s">
        <v>42</v>
      </c>
      <c r="C2" s="1">
        <v>7953712000174</v>
      </c>
      <c r="D2" t="s">
        <v>43</v>
      </c>
      <c r="F2" t="s">
        <v>1</v>
      </c>
      <c r="G2">
        <v>85862000</v>
      </c>
      <c r="H2" t="s">
        <v>44</v>
      </c>
      <c r="I2" t="s">
        <v>45</v>
      </c>
      <c r="J2" s="12" t="s">
        <v>46</v>
      </c>
      <c r="K2">
        <v>11</v>
      </c>
      <c r="L2">
        <v>9</v>
      </c>
      <c r="M2">
        <v>2031</v>
      </c>
      <c r="N2" t="s">
        <v>47</v>
      </c>
      <c r="O2" s="5">
        <f>DATE(Tabela1[[#This Row],[vigencia ano]],Tabela1[[#This Row],[vigencia mês]],Tabela1[[#This Row],[vigencia dia]])</f>
        <v>48102</v>
      </c>
    </row>
    <row r="3" spans="1:15" x14ac:dyDescent="0.25">
      <c r="A3" t="s">
        <v>41</v>
      </c>
      <c r="B3" t="s">
        <v>48</v>
      </c>
      <c r="C3" s="1">
        <v>10496449000146</v>
      </c>
      <c r="D3" t="s">
        <v>49</v>
      </c>
      <c r="F3" t="s">
        <v>1</v>
      </c>
      <c r="G3">
        <v>85859688</v>
      </c>
      <c r="H3" t="s">
        <v>50</v>
      </c>
      <c r="I3" t="s">
        <v>51</v>
      </c>
      <c r="J3" t="s">
        <v>46</v>
      </c>
      <c r="K3">
        <v>4</v>
      </c>
      <c r="L3">
        <v>5</v>
      </c>
      <c r="M3">
        <v>2028</v>
      </c>
      <c r="N3" t="s">
        <v>47</v>
      </c>
      <c r="O3" s="5">
        <f>DATE(Tabela1[[#This Row],[vigencia ano]],Tabela1[[#This Row],[vigencia mês]],Tabela1[[#This Row],[vigencia dia]])</f>
        <v>46877</v>
      </c>
    </row>
    <row r="4" spans="1:15" x14ac:dyDescent="0.25">
      <c r="A4" t="s">
        <v>41</v>
      </c>
      <c r="B4" t="s">
        <v>52</v>
      </c>
      <c r="C4" s="1">
        <v>3608196000190</v>
      </c>
      <c r="D4" t="s">
        <v>53</v>
      </c>
      <c r="F4" t="s">
        <v>2</v>
      </c>
      <c r="G4">
        <v>71225543</v>
      </c>
      <c r="H4" t="s">
        <v>54</v>
      </c>
      <c r="I4" t="s">
        <v>55</v>
      </c>
      <c r="J4" t="s">
        <v>56</v>
      </c>
      <c r="K4">
        <v>6</v>
      </c>
      <c r="L4">
        <v>29</v>
      </c>
      <c r="M4">
        <v>2032</v>
      </c>
      <c r="N4" t="s">
        <v>47</v>
      </c>
      <c r="O4" s="5">
        <f>DATE(Tabela1[[#This Row],[vigencia ano]],Tabela1[[#This Row],[vigencia mês]],Tabela1[[#This Row],[vigencia dia]])</f>
        <v>49070</v>
      </c>
    </row>
    <row r="5" spans="1:15" x14ac:dyDescent="0.25">
      <c r="A5" t="s">
        <v>41</v>
      </c>
      <c r="B5" t="s">
        <v>57</v>
      </c>
      <c r="C5" s="1">
        <v>4314143000129</v>
      </c>
      <c r="D5" t="s">
        <v>58</v>
      </c>
      <c r="F5" t="s">
        <v>3</v>
      </c>
      <c r="G5">
        <v>72878036</v>
      </c>
      <c r="H5" t="s">
        <v>59</v>
      </c>
      <c r="I5" t="s">
        <v>60</v>
      </c>
      <c r="J5" t="s">
        <v>46</v>
      </c>
      <c r="K5">
        <v>11</v>
      </c>
      <c r="L5">
        <v>12</v>
      </c>
      <c r="M5">
        <v>2030</v>
      </c>
      <c r="N5" t="s">
        <v>47</v>
      </c>
      <c r="O5" s="5">
        <f>DATE(Tabela1[[#This Row],[vigencia ano]],Tabela1[[#This Row],[vigencia mês]],Tabela1[[#This Row],[vigencia dia]])</f>
        <v>47828</v>
      </c>
    </row>
    <row r="6" spans="1:15" x14ac:dyDescent="0.25">
      <c r="A6" t="s">
        <v>41</v>
      </c>
      <c r="B6" t="s">
        <v>61</v>
      </c>
      <c r="C6" s="1">
        <v>76188846000169</v>
      </c>
      <c r="D6" t="s">
        <v>62</v>
      </c>
      <c r="F6" t="s">
        <v>1</v>
      </c>
      <c r="G6">
        <v>83514000</v>
      </c>
      <c r="H6" t="s">
        <v>63</v>
      </c>
      <c r="I6" t="s">
        <v>64</v>
      </c>
      <c r="J6" t="s">
        <v>46</v>
      </c>
      <c r="K6">
        <v>12</v>
      </c>
      <c r="L6">
        <v>30</v>
      </c>
      <c r="M6">
        <v>2024</v>
      </c>
      <c r="N6" t="s">
        <v>47</v>
      </c>
      <c r="O6" s="5">
        <f>DATE(Tabela1[[#This Row],[vigencia ano]],Tabela1[[#This Row],[vigencia mês]],Tabela1[[#This Row],[vigencia dia]])</f>
        <v>46185</v>
      </c>
    </row>
    <row r="7" spans="1:15" x14ac:dyDescent="0.25">
      <c r="A7" t="s">
        <v>41</v>
      </c>
      <c r="B7" t="s">
        <v>65</v>
      </c>
      <c r="C7" s="1">
        <v>35957917000163</v>
      </c>
      <c r="D7" t="s">
        <v>66</v>
      </c>
      <c r="F7" t="s">
        <v>4</v>
      </c>
      <c r="G7">
        <v>13347035</v>
      </c>
      <c r="H7" t="s">
        <v>67</v>
      </c>
      <c r="I7" t="s">
        <v>68</v>
      </c>
      <c r="J7" t="s">
        <v>56</v>
      </c>
      <c r="K7">
        <v>6</v>
      </c>
      <c r="L7">
        <v>22</v>
      </c>
      <c r="M7">
        <v>2031</v>
      </c>
      <c r="N7" t="s">
        <v>47</v>
      </c>
      <c r="O7" s="5">
        <f>DATE(Tabela1[[#This Row],[vigencia ano]],Tabela1[[#This Row],[vigencia mês]],Tabela1[[#This Row],[vigencia dia]])</f>
        <v>48493</v>
      </c>
    </row>
    <row r="8" spans="1:15" x14ac:dyDescent="0.25">
      <c r="A8" t="s">
        <v>41</v>
      </c>
      <c r="B8" t="s">
        <v>69</v>
      </c>
      <c r="C8" s="1">
        <v>2900972000168</v>
      </c>
      <c r="D8" t="s">
        <v>70</v>
      </c>
      <c r="F8" t="s">
        <v>5</v>
      </c>
      <c r="G8">
        <v>69800000</v>
      </c>
      <c r="H8" t="s">
        <v>71</v>
      </c>
      <c r="I8" t="s">
        <v>72</v>
      </c>
      <c r="J8" t="s">
        <v>56</v>
      </c>
      <c r="K8">
        <v>6</v>
      </c>
      <c r="L8">
        <v>22</v>
      </c>
      <c r="M8">
        <v>2032</v>
      </c>
      <c r="N8" t="s">
        <v>47</v>
      </c>
      <c r="O8" s="5">
        <f>DATE(Tabela1[[#This Row],[vigencia ano]],Tabela1[[#This Row],[vigencia mês]],Tabela1[[#This Row],[vigencia dia]])</f>
        <v>48858</v>
      </c>
    </row>
    <row r="9" spans="1:15" x14ac:dyDescent="0.25">
      <c r="A9" t="s">
        <v>41</v>
      </c>
      <c r="B9" t="s">
        <v>73</v>
      </c>
      <c r="C9" s="1">
        <v>21423605000165</v>
      </c>
      <c r="D9" t="s">
        <v>74</v>
      </c>
      <c r="F9" t="s">
        <v>4</v>
      </c>
      <c r="G9">
        <v>2712130</v>
      </c>
      <c r="H9" t="s">
        <v>75</v>
      </c>
      <c r="I9" t="s">
        <v>76</v>
      </c>
      <c r="J9" t="s">
        <v>46</v>
      </c>
      <c r="K9">
        <v>6</v>
      </c>
      <c r="L9">
        <v>12</v>
      </c>
      <c r="M9">
        <v>2030</v>
      </c>
      <c r="N9" t="s">
        <v>47</v>
      </c>
      <c r="O9" s="5">
        <f>DATE(Tabela1[[#This Row],[vigencia ano]],Tabela1[[#This Row],[vigencia mês]],Tabela1[[#This Row],[vigencia dia]])</f>
        <v>47823</v>
      </c>
    </row>
    <row r="10" spans="1:15" x14ac:dyDescent="0.25">
      <c r="A10" t="s">
        <v>41</v>
      </c>
      <c r="B10" t="s">
        <v>77</v>
      </c>
      <c r="C10" s="1">
        <v>7263198000145</v>
      </c>
      <c r="D10" t="s">
        <v>78</v>
      </c>
      <c r="F10" t="s">
        <v>1</v>
      </c>
      <c r="G10">
        <v>86072110</v>
      </c>
      <c r="H10" t="s">
        <v>79</v>
      </c>
      <c r="I10" t="s">
        <v>80</v>
      </c>
      <c r="J10" t="s">
        <v>46</v>
      </c>
      <c r="K10">
        <v>9</v>
      </c>
      <c r="L10">
        <v>10</v>
      </c>
      <c r="M10">
        <v>2023</v>
      </c>
      <c r="N10" t="s">
        <v>47</v>
      </c>
      <c r="O10" s="5">
        <f>DATE(Tabela1[[#This Row],[vigencia ano]],Tabela1[[#This Row],[vigencia mês]],Tabela1[[#This Row],[vigencia dia]])</f>
        <v>45208</v>
      </c>
    </row>
    <row r="11" spans="1:15" x14ac:dyDescent="0.25">
      <c r="A11" t="s">
        <v>81</v>
      </c>
      <c r="B11" t="s">
        <v>82</v>
      </c>
      <c r="C11" s="1">
        <v>53412</v>
      </c>
      <c r="D11" t="s">
        <v>83</v>
      </c>
      <c r="H11" t="s">
        <v>84</v>
      </c>
      <c r="I11" t="s">
        <v>85</v>
      </c>
      <c r="J11" t="s">
        <v>46</v>
      </c>
      <c r="K11">
        <v>12</v>
      </c>
      <c r="L11">
        <v>10</v>
      </c>
      <c r="M11">
        <v>2022</v>
      </c>
      <c r="N11" t="s">
        <v>47</v>
      </c>
      <c r="O11" s="5">
        <f>DATE(Tabela1[[#This Row],[vigencia ano]],Tabela1[[#This Row],[vigencia mês]],Tabela1[[#This Row],[vigencia dia]])</f>
        <v>44846</v>
      </c>
    </row>
    <row r="12" spans="1:15" x14ac:dyDescent="0.25">
      <c r="A12" t="s">
        <v>41</v>
      </c>
      <c r="B12" t="s">
        <v>86</v>
      </c>
      <c r="C12" s="1">
        <v>2916265000160</v>
      </c>
      <c r="D12" t="s">
        <v>87</v>
      </c>
      <c r="F12" t="s">
        <v>4</v>
      </c>
      <c r="G12">
        <v>5118100</v>
      </c>
      <c r="H12" t="s">
        <v>88</v>
      </c>
      <c r="I12" t="s">
        <v>89</v>
      </c>
      <c r="J12" t="s">
        <v>56</v>
      </c>
      <c r="K12">
        <v>10</v>
      </c>
      <c r="L12">
        <v>1</v>
      </c>
      <c r="M12">
        <v>2029</v>
      </c>
      <c r="N12" t="s">
        <v>47</v>
      </c>
      <c r="O12" s="5">
        <f>DATE(Tabela1[[#This Row],[vigencia ano]],Tabela1[[#This Row],[vigencia mês]],Tabela1[[#This Row],[vigencia dia]])</f>
        <v>47128</v>
      </c>
    </row>
    <row r="13" spans="1:15" x14ac:dyDescent="0.25">
      <c r="A13" t="s">
        <v>41</v>
      </c>
      <c r="B13" t="s">
        <v>90</v>
      </c>
      <c r="C13" s="1">
        <v>51024961000177</v>
      </c>
      <c r="D13" t="s">
        <v>91</v>
      </c>
      <c r="F13" t="s">
        <v>6</v>
      </c>
      <c r="G13">
        <v>67015520</v>
      </c>
      <c r="H13" t="s">
        <v>92</v>
      </c>
      <c r="I13" t="s">
        <v>93</v>
      </c>
      <c r="J13" t="s">
        <v>56</v>
      </c>
      <c r="K13">
        <v>2</v>
      </c>
      <c r="L13">
        <v>8</v>
      </c>
      <c r="M13">
        <v>2034</v>
      </c>
      <c r="N13" t="s">
        <v>47</v>
      </c>
      <c r="O13" s="5">
        <f>DATE(Tabela1[[#This Row],[vigencia ano]],Tabela1[[#This Row],[vigencia mês]],Tabela1[[#This Row],[vigencia dia]])</f>
        <v>49158</v>
      </c>
    </row>
    <row r="14" spans="1:15" x14ac:dyDescent="0.25">
      <c r="A14" t="s">
        <v>41</v>
      </c>
      <c r="B14" t="s">
        <v>94</v>
      </c>
      <c r="C14" s="1">
        <v>40924102000118</v>
      </c>
      <c r="D14" t="s">
        <v>95</v>
      </c>
      <c r="F14" t="s">
        <v>4</v>
      </c>
      <c r="G14">
        <v>13146055</v>
      </c>
      <c r="H14" t="s">
        <v>96</v>
      </c>
      <c r="I14" t="s">
        <v>97</v>
      </c>
      <c r="J14" t="s">
        <v>46</v>
      </c>
      <c r="K14">
        <v>10</v>
      </c>
      <c r="L14">
        <v>19</v>
      </c>
      <c r="M14">
        <v>2026</v>
      </c>
      <c r="N14" t="s">
        <v>47</v>
      </c>
      <c r="O14" s="5">
        <f>DATE(Tabela1[[#This Row],[vigencia ano]],Tabela1[[#This Row],[vigencia mês]],Tabela1[[#This Row],[vigencia dia]])</f>
        <v>46578</v>
      </c>
    </row>
    <row r="15" spans="1:15" x14ac:dyDescent="0.25">
      <c r="A15" t="s">
        <v>41</v>
      </c>
      <c r="B15" t="s">
        <v>98</v>
      </c>
      <c r="C15" s="1">
        <v>31000248000186</v>
      </c>
      <c r="D15" t="s">
        <v>99</v>
      </c>
      <c r="F15" t="s">
        <v>4</v>
      </c>
      <c r="G15">
        <v>13348897</v>
      </c>
      <c r="H15" t="s">
        <v>100</v>
      </c>
      <c r="I15" t="s">
        <v>101</v>
      </c>
      <c r="J15" t="s">
        <v>56</v>
      </c>
      <c r="K15">
        <v>5</v>
      </c>
      <c r="L15">
        <v>9</v>
      </c>
      <c r="M15">
        <v>2029</v>
      </c>
      <c r="N15" t="s">
        <v>47</v>
      </c>
      <c r="O15" s="5">
        <f>DATE(Tabela1[[#This Row],[vigencia ano]],Tabela1[[#This Row],[vigencia mês]],Tabela1[[#This Row],[vigencia dia]])</f>
        <v>47366</v>
      </c>
    </row>
    <row r="16" spans="1:15" x14ac:dyDescent="0.25">
      <c r="A16" t="s">
        <v>41</v>
      </c>
      <c r="B16" t="s">
        <v>102</v>
      </c>
      <c r="C16" s="1">
        <v>24514316000160</v>
      </c>
      <c r="D16" t="s">
        <v>103</v>
      </c>
      <c r="F16" t="s">
        <v>2</v>
      </c>
      <c r="G16">
        <v>71710555</v>
      </c>
      <c r="H16" t="s">
        <v>104</v>
      </c>
      <c r="I16" t="s">
        <v>105</v>
      </c>
      <c r="J16" t="s">
        <v>56</v>
      </c>
      <c r="K16">
        <v>10</v>
      </c>
      <c r="L16">
        <v>5</v>
      </c>
      <c r="M16">
        <v>2026</v>
      </c>
      <c r="N16" t="s">
        <v>47</v>
      </c>
      <c r="O16" s="5">
        <f>DATE(Tabela1[[#This Row],[vigencia ano]],Tabela1[[#This Row],[vigencia mês]],Tabela1[[#This Row],[vigencia dia]])</f>
        <v>46152</v>
      </c>
    </row>
    <row r="17" spans="1:15" x14ac:dyDescent="0.25">
      <c r="A17" t="s">
        <v>41</v>
      </c>
      <c r="B17" t="s">
        <v>106</v>
      </c>
      <c r="C17" s="1">
        <v>22044907000195</v>
      </c>
      <c r="D17" t="s">
        <v>107</v>
      </c>
      <c r="F17" t="s">
        <v>7</v>
      </c>
      <c r="G17">
        <v>21010900</v>
      </c>
      <c r="H17" t="s">
        <v>108</v>
      </c>
      <c r="I17" t="s">
        <v>109</v>
      </c>
      <c r="J17" t="s">
        <v>56</v>
      </c>
      <c r="K17">
        <v>10</v>
      </c>
      <c r="L17">
        <v>10</v>
      </c>
      <c r="M17">
        <v>2029</v>
      </c>
      <c r="N17" t="s">
        <v>47</v>
      </c>
      <c r="O17" s="5">
        <f>DATE(Tabela1[[#This Row],[vigencia ano]],Tabela1[[#This Row],[vigencia mês]],Tabela1[[#This Row],[vigencia dia]])</f>
        <v>47401</v>
      </c>
    </row>
    <row r="18" spans="1:15" x14ac:dyDescent="0.25">
      <c r="A18" t="s">
        <v>110</v>
      </c>
      <c r="B18" t="s">
        <v>111</v>
      </c>
      <c r="C18" s="1">
        <v>21386088000100</v>
      </c>
      <c r="D18" t="s">
        <v>112</v>
      </c>
      <c r="H18" t="s">
        <v>113</v>
      </c>
      <c r="I18" t="s">
        <v>114</v>
      </c>
      <c r="J18" t="s">
        <v>56</v>
      </c>
      <c r="K18">
        <v>3</v>
      </c>
      <c r="L18">
        <v>25</v>
      </c>
      <c r="M18">
        <v>2025</v>
      </c>
      <c r="N18" t="s">
        <v>47</v>
      </c>
      <c r="O18" s="5">
        <f>DATE(Tabela1[[#This Row],[vigencia ano]],Tabela1[[#This Row],[vigencia mês]],Tabela1[[#This Row],[vigencia dia]])</f>
        <v>46390</v>
      </c>
    </row>
    <row r="19" spans="1:15" x14ac:dyDescent="0.25">
      <c r="A19" t="s">
        <v>41</v>
      </c>
      <c r="B19" t="s">
        <v>115</v>
      </c>
      <c r="C19" s="1">
        <v>3126110000192</v>
      </c>
      <c r="D19" t="s">
        <v>116</v>
      </c>
      <c r="F19" t="s">
        <v>2</v>
      </c>
      <c r="G19">
        <v>71250710</v>
      </c>
      <c r="H19" t="s">
        <v>117</v>
      </c>
      <c r="I19" t="s">
        <v>118</v>
      </c>
      <c r="J19" t="s">
        <v>56</v>
      </c>
      <c r="K19">
        <v>11</v>
      </c>
      <c r="L19">
        <v>11</v>
      </c>
      <c r="M19">
        <v>2026</v>
      </c>
      <c r="N19" t="s">
        <v>47</v>
      </c>
      <c r="O19" s="5">
        <f>DATE(Tabela1[[#This Row],[vigencia ano]],Tabela1[[#This Row],[vigencia mês]],Tabela1[[#This Row],[vigencia dia]])</f>
        <v>46337</v>
      </c>
    </row>
    <row r="20" spans="1:15" x14ac:dyDescent="0.25">
      <c r="A20" t="s">
        <v>41</v>
      </c>
      <c r="B20" t="s">
        <v>119</v>
      </c>
      <c r="C20" s="1">
        <v>11958200000178</v>
      </c>
      <c r="D20" t="s">
        <v>120</v>
      </c>
      <c r="F20" t="s">
        <v>2</v>
      </c>
      <c r="G20">
        <v>71070524</v>
      </c>
      <c r="H20" t="s">
        <v>121</v>
      </c>
      <c r="I20" t="s">
        <v>122</v>
      </c>
      <c r="J20" t="s">
        <v>56</v>
      </c>
      <c r="K20">
        <v>12</v>
      </c>
      <c r="L20">
        <v>1</v>
      </c>
      <c r="M20">
        <v>2032</v>
      </c>
      <c r="N20" t="s">
        <v>47</v>
      </c>
      <c r="O20" s="5">
        <f>DATE(Tabela1[[#This Row],[vigencia ano]],Tabela1[[#This Row],[vigencia mês]],Tabela1[[#This Row],[vigencia dia]])</f>
        <v>48225</v>
      </c>
    </row>
    <row r="21" spans="1:15" x14ac:dyDescent="0.25">
      <c r="A21" t="s">
        <v>41</v>
      </c>
      <c r="B21" t="s">
        <v>123</v>
      </c>
      <c r="C21" s="1">
        <v>3061794000191</v>
      </c>
      <c r="D21" t="s">
        <v>124</v>
      </c>
      <c r="F21" t="s">
        <v>4</v>
      </c>
      <c r="G21">
        <v>5693000</v>
      </c>
      <c r="H21" t="s">
        <v>125</v>
      </c>
      <c r="I21" t="s">
        <v>126</v>
      </c>
      <c r="J21" t="s">
        <v>46</v>
      </c>
      <c r="K21">
        <v>6</v>
      </c>
      <c r="L21">
        <v>8</v>
      </c>
      <c r="M21">
        <v>2027</v>
      </c>
      <c r="N21" t="s">
        <v>47</v>
      </c>
      <c r="O21" s="5">
        <f>DATE(Tabela1[[#This Row],[vigencia ano]],Tabela1[[#This Row],[vigencia mês]],Tabela1[[#This Row],[vigencia dia]])</f>
        <v>46605</v>
      </c>
    </row>
    <row r="22" spans="1:15" x14ac:dyDescent="0.25">
      <c r="A22" t="s">
        <v>41</v>
      </c>
      <c r="B22" t="s">
        <v>127</v>
      </c>
      <c r="C22" s="1">
        <v>23756206000141</v>
      </c>
      <c r="D22" t="s">
        <v>128</v>
      </c>
      <c r="F22" t="s">
        <v>3</v>
      </c>
      <c r="G22">
        <v>75375000</v>
      </c>
      <c r="H22" t="s">
        <v>129</v>
      </c>
      <c r="I22" t="s">
        <v>130</v>
      </c>
      <c r="J22" t="s">
        <v>56</v>
      </c>
      <c r="K22">
        <v>2</v>
      </c>
      <c r="L22">
        <v>10</v>
      </c>
      <c r="M22">
        <v>2027</v>
      </c>
      <c r="N22" t="s">
        <v>47</v>
      </c>
      <c r="O22" s="5">
        <f>DATE(Tabela1[[#This Row],[vigencia ano]],Tabela1[[#This Row],[vigencia mês]],Tabela1[[#This Row],[vigencia dia]])</f>
        <v>46662</v>
      </c>
    </row>
    <row r="23" spans="1:15" x14ac:dyDescent="0.25">
      <c r="A23" t="s">
        <v>41</v>
      </c>
      <c r="B23" t="s">
        <v>131</v>
      </c>
      <c r="C23" s="1">
        <v>6315338000119</v>
      </c>
      <c r="D23" t="s">
        <v>132</v>
      </c>
      <c r="F23" t="s">
        <v>4</v>
      </c>
      <c r="G23">
        <v>5402920</v>
      </c>
      <c r="H23" t="s">
        <v>133</v>
      </c>
      <c r="I23" t="s">
        <v>134</v>
      </c>
      <c r="J23" t="s">
        <v>56</v>
      </c>
      <c r="K23">
        <v>5</v>
      </c>
      <c r="L23">
        <v>25</v>
      </c>
      <c r="M23">
        <v>2022</v>
      </c>
      <c r="N23" t="s">
        <v>47</v>
      </c>
      <c r="O23" s="5">
        <f>DATE(Tabela1[[#This Row],[vigencia ano]],Tabela1[[#This Row],[vigencia mês]],Tabela1[[#This Row],[vigencia dia]])</f>
        <v>45296</v>
      </c>
    </row>
    <row r="24" spans="1:15" x14ac:dyDescent="0.25">
      <c r="A24" t="s">
        <v>41</v>
      </c>
      <c r="B24" t="s">
        <v>135</v>
      </c>
      <c r="C24" s="1">
        <v>41248280000139</v>
      </c>
      <c r="D24" t="s">
        <v>136</v>
      </c>
      <c r="F24" t="s">
        <v>8</v>
      </c>
      <c r="G24">
        <v>76914899</v>
      </c>
      <c r="H24" t="s">
        <v>137</v>
      </c>
      <c r="I24" t="s">
        <v>138</v>
      </c>
      <c r="J24" t="s">
        <v>56</v>
      </c>
      <c r="K24">
        <v>12</v>
      </c>
      <c r="L24">
        <v>20</v>
      </c>
      <c r="M24">
        <v>2033</v>
      </c>
      <c r="N24" t="s">
        <v>47</v>
      </c>
      <c r="O24" s="5">
        <f>DATE(Tabela1[[#This Row],[vigencia ano]],Tabela1[[#This Row],[vigencia mês]],Tabela1[[#This Row],[vigencia dia]])</f>
        <v>49168</v>
      </c>
    </row>
    <row r="25" spans="1:15" x14ac:dyDescent="0.25">
      <c r="A25" t="s">
        <v>41</v>
      </c>
      <c r="B25" t="s">
        <v>139</v>
      </c>
      <c r="C25" s="1">
        <v>33805990000194</v>
      </c>
      <c r="D25" t="s">
        <v>140</v>
      </c>
      <c r="F25" t="s">
        <v>4</v>
      </c>
      <c r="G25">
        <v>13340730</v>
      </c>
      <c r="H25" t="s">
        <v>141</v>
      </c>
      <c r="I25" t="s">
        <v>142</v>
      </c>
      <c r="J25" t="s">
        <v>56</v>
      </c>
      <c r="K25">
        <v>8</v>
      </c>
      <c r="L25">
        <v>23</v>
      </c>
      <c r="M25">
        <v>2034</v>
      </c>
      <c r="N25" t="s">
        <v>47</v>
      </c>
      <c r="O25" s="5">
        <f>DATE(Tabela1[[#This Row],[vigencia ano]],Tabela1[[#This Row],[vigencia mês]],Tabela1[[#This Row],[vigencia dia]])</f>
        <v>49621</v>
      </c>
    </row>
    <row r="26" spans="1:15" x14ac:dyDescent="0.25">
      <c r="A26" t="s">
        <v>41</v>
      </c>
      <c r="B26" t="s">
        <v>143</v>
      </c>
      <c r="C26" s="1">
        <v>14144376000184</v>
      </c>
      <c r="D26" t="s">
        <v>144</v>
      </c>
      <c r="F26" t="s">
        <v>9</v>
      </c>
      <c r="G26">
        <v>90240611</v>
      </c>
      <c r="H26" t="s">
        <v>145</v>
      </c>
      <c r="I26" t="s">
        <v>146</v>
      </c>
      <c r="J26" t="s">
        <v>46</v>
      </c>
      <c r="K26">
        <v>7</v>
      </c>
      <c r="L26">
        <v>22</v>
      </c>
      <c r="M26">
        <v>2023</v>
      </c>
      <c r="N26" t="s">
        <v>47</v>
      </c>
      <c r="O26" s="5">
        <f>DATE(Tabela1[[#This Row],[vigencia ano]],Tabela1[[#This Row],[vigencia mês]],Tabela1[[#This Row],[vigencia dia]])</f>
        <v>45572</v>
      </c>
    </row>
    <row r="27" spans="1:15" x14ac:dyDescent="0.25">
      <c r="A27" t="s">
        <v>41</v>
      </c>
      <c r="B27" t="s">
        <v>147</v>
      </c>
      <c r="C27" s="1">
        <v>68979111000125</v>
      </c>
      <c r="D27" t="s">
        <v>148</v>
      </c>
      <c r="F27" t="s">
        <v>4</v>
      </c>
      <c r="G27">
        <v>6833300</v>
      </c>
      <c r="H27" t="s">
        <v>149</v>
      </c>
      <c r="I27" t="s">
        <v>150</v>
      </c>
      <c r="J27" t="s">
        <v>46</v>
      </c>
      <c r="K27">
        <v>6</v>
      </c>
      <c r="L27">
        <v>7</v>
      </c>
      <c r="M27">
        <v>2015</v>
      </c>
      <c r="N27" t="s">
        <v>47</v>
      </c>
      <c r="O27" s="5">
        <f>DATE(Tabela1[[#This Row],[vigencia ano]],Tabela1[[#This Row],[vigencia mês]],Tabela1[[#This Row],[vigencia dia]])</f>
        <v>42191</v>
      </c>
    </row>
    <row r="28" spans="1:15" x14ac:dyDescent="0.25">
      <c r="A28" t="s">
        <v>41</v>
      </c>
      <c r="B28" t="s">
        <v>151</v>
      </c>
      <c r="C28" s="1">
        <v>12323649000122</v>
      </c>
      <c r="D28" t="s">
        <v>152</v>
      </c>
      <c r="F28" t="s">
        <v>2</v>
      </c>
      <c r="G28">
        <v>71736302</v>
      </c>
      <c r="H28" t="s">
        <v>153</v>
      </c>
      <c r="I28" t="s">
        <v>154</v>
      </c>
      <c r="J28" t="s">
        <v>56</v>
      </c>
      <c r="K28">
        <v>9</v>
      </c>
      <c r="L28">
        <v>30</v>
      </c>
      <c r="M28">
        <v>2034</v>
      </c>
      <c r="N28" t="s">
        <v>47</v>
      </c>
      <c r="O28" s="5">
        <f>DATE(Tabela1[[#This Row],[vigencia ano]],Tabela1[[#This Row],[vigencia mês]],Tabela1[[#This Row],[vigencia dia]])</f>
        <v>49835</v>
      </c>
    </row>
    <row r="29" spans="1:15" x14ac:dyDescent="0.25">
      <c r="A29" t="s">
        <v>41</v>
      </c>
      <c r="B29" t="s">
        <v>155</v>
      </c>
      <c r="C29" s="1">
        <v>68577659000149</v>
      </c>
      <c r="D29" t="s">
        <v>156</v>
      </c>
      <c r="F29" t="s">
        <v>4</v>
      </c>
      <c r="G29">
        <v>2016001</v>
      </c>
      <c r="H29" t="s">
        <v>157</v>
      </c>
      <c r="I29" t="s">
        <v>158</v>
      </c>
      <c r="J29" t="s">
        <v>56</v>
      </c>
      <c r="K29">
        <v>1</v>
      </c>
      <c r="L29">
        <v>3</v>
      </c>
      <c r="M29">
        <v>2023</v>
      </c>
      <c r="N29" t="s">
        <v>47</v>
      </c>
      <c r="O29" s="5">
        <f>DATE(Tabela1[[#This Row],[vigencia ano]],Tabela1[[#This Row],[vigencia mês]],Tabela1[[#This Row],[vigencia dia]])</f>
        <v>44986</v>
      </c>
    </row>
    <row r="30" spans="1:15" x14ac:dyDescent="0.25">
      <c r="A30" t="s">
        <v>41</v>
      </c>
      <c r="B30" t="s">
        <v>159</v>
      </c>
      <c r="C30" s="1">
        <v>43448117000145</v>
      </c>
      <c r="D30" t="s">
        <v>160</v>
      </c>
      <c r="F30" t="s">
        <v>4</v>
      </c>
      <c r="G30">
        <v>4011002</v>
      </c>
      <c r="H30" t="s">
        <v>161</v>
      </c>
      <c r="I30" t="s">
        <v>162</v>
      </c>
      <c r="J30" t="s">
        <v>56</v>
      </c>
      <c r="K30">
        <v>10</v>
      </c>
      <c r="L30">
        <v>8</v>
      </c>
      <c r="M30">
        <v>2022</v>
      </c>
      <c r="N30" t="s">
        <v>47</v>
      </c>
      <c r="O30" s="5">
        <f>DATE(Tabela1[[#This Row],[vigencia ano]],Tabela1[[#This Row],[vigencia mês]],Tabela1[[#This Row],[vigencia dia]])</f>
        <v>44783</v>
      </c>
    </row>
    <row r="31" spans="1:15" x14ac:dyDescent="0.25">
      <c r="A31" t="s">
        <v>41</v>
      </c>
      <c r="B31" t="s">
        <v>163</v>
      </c>
      <c r="C31" s="1">
        <v>18461528000123</v>
      </c>
      <c r="D31" t="s">
        <v>164</v>
      </c>
      <c r="F31" t="s">
        <v>10</v>
      </c>
      <c r="G31">
        <v>88801250</v>
      </c>
      <c r="H31" t="s">
        <v>165</v>
      </c>
      <c r="I31" t="s">
        <v>166</v>
      </c>
      <c r="J31" t="s">
        <v>56</v>
      </c>
      <c r="K31">
        <v>11</v>
      </c>
      <c r="L31">
        <v>19</v>
      </c>
      <c r="M31">
        <v>2031</v>
      </c>
      <c r="N31" t="s">
        <v>47</v>
      </c>
      <c r="O31" s="5">
        <f>DATE(Tabela1[[#This Row],[vigencia ano]],Tabela1[[#This Row],[vigencia mês]],Tabela1[[#This Row],[vigencia dia]])</f>
        <v>48406</v>
      </c>
    </row>
    <row r="32" spans="1:15" x14ac:dyDescent="0.25">
      <c r="A32" t="s">
        <v>41</v>
      </c>
      <c r="B32" t="s">
        <v>167</v>
      </c>
      <c r="C32" s="1">
        <v>20404196000197</v>
      </c>
      <c r="D32" t="s">
        <v>168</v>
      </c>
      <c r="F32" t="s">
        <v>11</v>
      </c>
      <c r="G32">
        <v>78748702</v>
      </c>
      <c r="H32" t="s">
        <v>169</v>
      </c>
      <c r="I32" t="s">
        <v>170</v>
      </c>
      <c r="J32" t="s">
        <v>56</v>
      </c>
      <c r="K32">
        <v>1</v>
      </c>
      <c r="L32">
        <v>8</v>
      </c>
      <c r="M32">
        <v>2035</v>
      </c>
      <c r="N32" t="s">
        <v>47</v>
      </c>
      <c r="O32" s="5">
        <f>DATE(Tabela1[[#This Row],[vigencia ano]],Tabela1[[#This Row],[vigencia mês]],Tabela1[[#This Row],[vigencia dia]])</f>
        <v>49522</v>
      </c>
    </row>
    <row r="33" spans="1:15" x14ac:dyDescent="0.25">
      <c r="A33" t="s">
        <v>41</v>
      </c>
      <c r="B33" t="s">
        <v>171</v>
      </c>
      <c r="C33" s="1">
        <v>6367990000187</v>
      </c>
      <c r="D33" t="s">
        <v>172</v>
      </c>
      <c r="F33" t="s">
        <v>9</v>
      </c>
      <c r="G33">
        <v>95034190</v>
      </c>
      <c r="H33" t="s">
        <v>173</v>
      </c>
      <c r="I33" t="s">
        <v>174</v>
      </c>
      <c r="J33" t="s">
        <v>56</v>
      </c>
      <c r="K33">
        <v>2</v>
      </c>
      <c r="L33">
        <v>22</v>
      </c>
      <c r="M33">
        <v>2031</v>
      </c>
      <c r="N33" t="s">
        <v>47</v>
      </c>
      <c r="O33" s="5">
        <f>DATE(Tabela1[[#This Row],[vigencia ano]],Tabela1[[#This Row],[vigencia mês]],Tabela1[[#This Row],[vigencia dia]])</f>
        <v>48489</v>
      </c>
    </row>
    <row r="34" spans="1:15" x14ac:dyDescent="0.25">
      <c r="A34" t="s">
        <v>41</v>
      </c>
      <c r="B34" t="s">
        <v>175</v>
      </c>
      <c r="C34" s="1">
        <v>14410508000172</v>
      </c>
      <c r="D34" t="s">
        <v>176</v>
      </c>
      <c r="F34" t="s">
        <v>6</v>
      </c>
      <c r="G34">
        <v>68030000</v>
      </c>
      <c r="H34" t="s">
        <v>177</v>
      </c>
      <c r="I34" t="s">
        <v>178</v>
      </c>
      <c r="J34" t="s">
        <v>56</v>
      </c>
      <c r="K34">
        <v>6</v>
      </c>
      <c r="L34">
        <v>2</v>
      </c>
      <c r="M34">
        <v>2033</v>
      </c>
      <c r="N34" t="s">
        <v>47</v>
      </c>
      <c r="O34" s="5">
        <f>DATE(Tabela1[[#This Row],[vigencia ano]],Tabela1[[#This Row],[vigencia mês]],Tabela1[[#This Row],[vigencia dia]])</f>
        <v>48616</v>
      </c>
    </row>
    <row r="35" spans="1:15" x14ac:dyDescent="0.25">
      <c r="A35" t="s">
        <v>41</v>
      </c>
      <c r="B35" t="s">
        <v>179</v>
      </c>
      <c r="C35" s="1">
        <v>28965734000124</v>
      </c>
      <c r="D35" t="s">
        <v>180</v>
      </c>
      <c r="F35" t="s">
        <v>7</v>
      </c>
      <c r="G35">
        <v>22898018</v>
      </c>
      <c r="H35" t="s">
        <v>181</v>
      </c>
      <c r="I35" t="s">
        <v>182</v>
      </c>
      <c r="J35" t="s">
        <v>56</v>
      </c>
      <c r="K35">
        <v>10</v>
      </c>
      <c r="L35">
        <v>4</v>
      </c>
      <c r="M35">
        <v>2028</v>
      </c>
      <c r="N35" t="s">
        <v>47</v>
      </c>
      <c r="O35" s="5">
        <f>DATE(Tabela1[[#This Row],[vigencia ano]],Tabela1[[#This Row],[vigencia mês]],Tabela1[[#This Row],[vigencia dia]])</f>
        <v>46853</v>
      </c>
    </row>
    <row r="36" spans="1:15" x14ac:dyDescent="0.25">
      <c r="A36" t="s">
        <v>41</v>
      </c>
      <c r="B36" t="s">
        <v>183</v>
      </c>
      <c r="C36" s="1">
        <v>7432416000128</v>
      </c>
      <c r="D36" t="s">
        <v>184</v>
      </c>
      <c r="F36" t="s">
        <v>1</v>
      </c>
      <c r="G36">
        <v>85862408</v>
      </c>
      <c r="H36" t="s">
        <v>185</v>
      </c>
      <c r="I36" t="s">
        <v>186</v>
      </c>
      <c r="J36" t="s">
        <v>46</v>
      </c>
      <c r="K36">
        <v>9</v>
      </c>
      <c r="L36">
        <v>29</v>
      </c>
      <c r="M36">
        <v>2032</v>
      </c>
      <c r="N36" t="s">
        <v>47</v>
      </c>
      <c r="O36" s="5">
        <f>DATE(Tabela1[[#This Row],[vigencia ano]],Tabela1[[#This Row],[vigencia mês]],Tabela1[[#This Row],[vigencia dia]])</f>
        <v>49073</v>
      </c>
    </row>
    <row r="37" spans="1:15" x14ac:dyDescent="0.25">
      <c r="A37" t="s">
        <v>41</v>
      </c>
      <c r="B37" t="s">
        <v>187</v>
      </c>
      <c r="C37" s="1">
        <v>40897110000112</v>
      </c>
      <c r="D37" t="s">
        <v>188</v>
      </c>
      <c r="F37" t="s">
        <v>5</v>
      </c>
      <c r="G37">
        <v>68901280</v>
      </c>
      <c r="H37" t="s">
        <v>189</v>
      </c>
      <c r="I37" t="s">
        <v>190</v>
      </c>
      <c r="J37" t="s">
        <v>56</v>
      </c>
      <c r="K37">
        <v>12</v>
      </c>
      <c r="L37">
        <v>20</v>
      </c>
      <c r="M37">
        <v>2033</v>
      </c>
      <c r="N37" t="s">
        <v>47</v>
      </c>
      <c r="O37" s="5">
        <f>DATE(Tabela1[[#This Row],[vigencia ano]],Tabela1[[#This Row],[vigencia mês]],Tabela1[[#This Row],[vigencia dia]])</f>
        <v>49168</v>
      </c>
    </row>
    <row r="38" spans="1:15" x14ac:dyDescent="0.25">
      <c r="A38" t="s">
        <v>41</v>
      </c>
      <c r="B38" t="s">
        <v>191</v>
      </c>
      <c r="C38" s="1">
        <v>1650438000188</v>
      </c>
      <c r="D38" t="s">
        <v>192</v>
      </c>
      <c r="F38" t="s">
        <v>1</v>
      </c>
      <c r="G38">
        <v>85862408</v>
      </c>
      <c r="H38" t="s">
        <v>193</v>
      </c>
      <c r="I38" t="s">
        <v>194</v>
      </c>
      <c r="J38" t="s">
        <v>46</v>
      </c>
      <c r="K38">
        <v>5</v>
      </c>
      <c r="L38">
        <v>31</v>
      </c>
      <c r="M38">
        <v>2026</v>
      </c>
      <c r="N38" t="s">
        <v>47</v>
      </c>
      <c r="O38" s="5">
        <f>DATE(Tabela1[[#This Row],[vigencia ano]],Tabela1[[#This Row],[vigencia mês]],Tabela1[[#This Row],[vigencia dia]])</f>
        <v>46939</v>
      </c>
    </row>
    <row r="39" spans="1:15" x14ac:dyDescent="0.25">
      <c r="A39" t="s">
        <v>41</v>
      </c>
      <c r="B39" t="s">
        <v>195</v>
      </c>
      <c r="C39" s="1">
        <v>2335956000170</v>
      </c>
      <c r="D39" t="s">
        <v>196</v>
      </c>
      <c r="F39" t="s">
        <v>1</v>
      </c>
      <c r="G39">
        <v>85867000</v>
      </c>
      <c r="H39" t="s">
        <v>197</v>
      </c>
      <c r="I39" t="s">
        <v>198</v>
      </c>
      <c r="J39" t="s">
        <v>46</v>
      </c>
      <c r="K39">
        <v>3</v>
      </c>
      <c r="L39">
        <v>30</v>
      </c>
      <c r="M39">
        <v>2025</v>
      </c>
      <c r="N39" t="s">
        <v>47</v>
      </c>
      <c r="O39" s="5">
        <f>DATE(Tabela1[[#This Row],[vigencia ano]],Tabela1[[#This Row],[vigencia mês]],Tabela1[[#This Row],[vigencia dia]])</f>
        <v>46541</v>
      </c>
    </row>
    <row r="40" spans="1:15" x14ac:dyDescent="0.25">
      <c r="A40" t="s">
        <v>41</v>
      </c>
      <c r="B40" t="s">
        <v>199</v>
      </c>
      <c r="C40" s="1">
        <v>5993759000136</v>
      </c>
      <c r="D40" t="s">
        <v>200</v>
      </c>
      <c r="F40" t="s">
        <v>1</v>
      </c>
      <c r="G40">
        <v>85862000</v>
      </c>
      <c r="H40" t="s">
        <v>201</v>
      </c>
      <c r="I40" t="s">
        <v>202</v>
      </c>
      <c r="J40" t="s">
        <v>46</v>
      </c>
      <c r="K40">
        <v>5</v>
      </c>
      <c r="L40">
        <v>5</v>
      </c>
      <c r="M40">
        <v>2032</v>
      </c>
      <c r="N40" t="s">
        <v>47</v>
      </c>
      <c r="O40" s="5">
        <f>DATE(Tabela1[[#This Row],[vigencia ano]],Tabela1[[#This Row],[vigencia mês]],Tabela1[[#This Row],[vigencia dia]])</f>
        <v>48339</v>
      </c>
    </row>
    <row r="41" spans="1:15" x14ac:dyDescent="0.25">
      <c r="A41" t="s">
        <v>41</v>
      </c>
      <c r="B41" t="s">
        <v>203</v>
      </c>
      <c r="C41" s="1">
        <v>42310177000134</v>
      </c>
      <c r="D41" t="s">
        <v>204</v>
      </c>
      <c r="F41" t="s">
        <v>7</v>
      </c>
      <c r="G41">
        <v>20941900</v>
      </c>
      <c r="H41" t="s">
        <v>205</v>
      </c>
      <c r="I41" t="s">
        <v>206</v>
      </c>
      <c r="J41" t="s">
        <v>46</v>
      </c>
      <c r="K41">
        <v>6</v>
      </c>
      <c r="L41">
        <v>7</v>
      </c>
      <c r="M41">
        <v>2015</v>
      </c>
      <c r="N41" t="s">
        <v>47</v>
      </c>
      <c r="O41" s="5">
        <f>DATE(Tabela1[[#This Row],[vigencia ano]],Tabela1[[#This Row],[vigencia mês]],Tabela1[[#This Row],[vigencia dia]])</f>
        <v>42191</v>
      </c>
    </row>
    <row r="42" spans="1:15" x14ac:dyDescent="0.25">
      <c r="A42" t="s">
        <v>41</v>
      </c>
      <c r="B42" t="s">
        <v>207</v>
      </c>
      <c r="C42" s="1">
        <v>81127144000105</v>
      </c>
      <c r="D42" t="s">
        <v>208</v>
      </c>
      <c r="F42" t="s">
        <v>1</v>
      </c>
      <c r="G42">
        <v>85867000</v>
      </c>
      <c r="H42" t="s">
        <v>209</v>
      </c>
      <c r="I42" t="s">
        <v>210</v>
      </c>
      <c r="J42" t="s">
        <v>46</v>
      </c>
      <c r="K42">
        <v>5</v>
      </c>
      <c r="L42">
        <v>26</v>
      </c>
      <c r="M42">
        <v>2025</v>
      </c>
      <c r="N42" t="s">
        <v>47</v>
      </c>
      <c r="O42" s="5">
        <f>DATE(Tabela1[[#This Row],[vigencia ano]],Tabela1[[#This Row],[vigencia mês]],Tabela1[[#This Row],[vigencia dia]])</f>
        <v>46423</v>
      </c>
    </row>
    <row r="43" spans="1:15" x14ac:dyDescent="0.25">
      <c r="A43" t="s">
        <v>41</v>
      </c>
      <c r="B43" t="s">
        <v>211</v>
      </c>
      <c r="C43" s="1">
        <v>2006743000102</v>
      </c>
      <c r="D43" t="s">
        <v>212</v>
      </c>
      <c r="F43" t="s">
        <v>4</v>
      </c>
      <c r="G43">
        <v>6317270</v>
      </c>
      <c r="H43" t="s">
        <v>213</v>
      </c>
      <c r="I43" t="s">
        <v>214</v>
      </c>
      <c r="J43" t="s">
        <v>56</v>
      </c>
      <c r="K43">
        <v>11</v>
      </c>
      <c r="L43">
        <v>12</v>
      </c>
      <c r="M43">
        <v>2029</v>
      </c>
      <c r="N43" t="s">
        <v>47</v>
      </c>
      <c r="O43" s="5">
        <f>DATE(Tabela1[[#This Row],[vigencia ano]],Tabela1[[#This Row],[vigencia mês]],Tabela1[[#This Row],[vigencia dia]])</f>
        <v>47463</v>
      </c>
    </row>
    <row r="44" spans="1:15" x14ac:dyDescent="0.25">
      <c r="A44" t="s">
        <v>215</v>
      </c>
      <c r="B44" t="s">
        <v>216</v>
      </c>
      <c r="C44" s="1">
        <v>8219447000168</v>
      </c>
      <c r="D44" t="s">
        <v>217</v>
      </c>
      <c r="H44" t="s">
        <v>218</v>
      </c>
      <c r="I44" t="s">
        <v>219</v>
      </c>
      <c r="J44" t="s">
        <v>56</v>
      </c>
      <c r="K44">
        <v>6</v>
      </c>
      <c r="L44">
        <v>23</v>
      </c>
      <c r="M44">
        <v>2035</v>
      </c>
      <c r="N44" t="s">
        <v>220</v>
      </c>
      <c r="O44" s="5">
        <f>DATE(Tabela1[[#This Row],[vigencia ano]],Tabela1[[#This Row],[vigencia mês]],Tabela1[[#This Row],[vigencia dia]])</f>
        <v>49985</v>
      </c>
    </row>
    <row r="45" spans="1:15" x14ac:dyDescent="0.25">
      <c r="A45" t="s">
        <v>41</v>
      </c>
      <c r="B45" t="s">
        <v>221</v>
      </c>
      <c r="C45" s="1">
        <v>242640000108</v>
      </c>
      <c r="D45" t="s">
        <v>222</v>
      </c>
      <c r="F45" t="s">
        <v>1</v>
      </c>
      <c r="G45">
        <v>83707000</v>
      </c>
      <c r="H45" t="s">
        <v>223</v>
      </c>
      <c r="I45" t="s">
        <v>224</v>
      </c>
      <c r="J45" t="s">
        <v>46</v>
      </c>
      <c r="K45">
        <v>6</v>
      </c>
      <c r="L45">
        <v>22</v>
      </c>
      <c r="M45">
        <v>2032</v>
      </c>
      <c r="N45" t="s">
        <v>47</v>
      </c>
      <c r="O45" s="5">
        <f>DATE(Tabela1[[#This Row],[vigencia ano]],Tabela1[[#This Row],[vigencia mês]],Tabela1[[#This Row],[vigencia dia]])</f>
        <v>48858</v>
      </c>
    </row>
    <row r="46" spans="1:15" x14ac:dyDescent="0.25">
      <c r="A46" t="s">
        <v>225</v>
      </c>
      <c r="B46" t="s">
        <v>226</v>
      </c>
      <c r="C46" s="1">
        <v>71015</v>
      </c>
      <c r="D46" t="s">
        <v>227</v>
      </c>
      <c r="H46" t="s">
        <v>218</v>
      </c>
      <c r="I46" t="s">
        <v>228</v>
      </c>
      <c r="J46" t="s">
        <v>56</v>
      </c>
      <c r="K46">
        <v>7</v>
      </c>
      <c r="L46">
        <v>30</v>
      </c>
      <c r="M46">
        <v>2035</v>
      </c>
      <c r="N46" t="s">
        <v>229</v>
      </c>
      <c r="O46" s="5">
        <f>DATE(Tabela1[[#This Row],[vigencia ano]],Tabela1[[#This Row],[vigencia mês]],Tabela1[[#This Row],[vigencia dia]])</f>
        <v>50198</v>
      </c>
    </row>
    <row r="47" spans="1:15" x14ac:dyDescent="0.25">
      <c r="A47" t="s">
        <v>225</v>
      </c>
      <c r="B47" t="s">
        <v>226</v>
      </c>
      <c r="C47" s="1">
        <v>71015</v>
      </c>
      <c r="D47" t="s">
        <v>227</v>
      </c>
      <c r="H47" t="s">
        <v>230</v>
      </c>
      <c r="I47" t="s">
        <v>228</v>
      </c>
      <c r="J47" t="s">
        <v>56</v>
      </c>
      <c r="K47">
        <v>7</v>
      </c>
      <c r="L47">
        <v>30</v>
      </c>
      <c r="M47">
        <v>2035</v>
      </c>
      <c r="N47" t="s">
        <v>229</v>
      </c>
      <c r="O47" s="5">
        <f>DATE(Tabela1[[#This Row],[vigencia ano]],Tabela1[[#This Row],[vigencia mês]],Tabela1[[#This Row],[vigencia dia]])</f>
        <v>50198</v>
      </c>
    </row>
    <row r="48" spans="1:15" x14ac:dyDescent="0.25">
      <c r="A48" t="s">
        <v>41</v>
      </c>
      <c r="B48" t="s">
        <v>231</v>
      </c>
      <c r="C48" s="1">
        <v>12900343000191</v>
      </c>
      <c r="D48" t="s">
        <v>232</v>
      </c>
      <c r="E48" t="s">
        <v>233</v>
      </c>
      <c r="F48" t="s">
        <v>8</v>
      </c>
      <c r="G48">
        <v>76960970</v>
      </c>
      <c r="H48" t="s">
        <v>234</v>
      </c>
      <c r="I48" t="s">
        <v>235</v>
      </c>
      <c r="J48" t="s">
        <v>56</v>
      </c>
      <c r="K48">
        <v>1</v>
      </c>
      <c r="L48">
        <v>25</v>
      </c>
      <c r="M48">
        <v>2032</v>
      </c>
      <c r="N48" t="s">
        <v>47</v>
      </c>
      <c r="O48" s="5">
        <f>DATE(Tabela1[[#This Row],[vigencia ano]],Tabela1[[#This Row],[vigencia mês]],Tabela1[[#This Row],[vigencia dia]])</f>
        <v>48945</v>
      </c>
    </row>
    <row r="49" spans="1:15" x14ac:dyDescent="0.25">
      <c r="A49" t="s">
        <v>41</v>
      </c>
      <c r="B49" t="s">
        <v>236</v>
      </c>
      <c r="C49" s="1">
        <v>1746769000116</v>
      </c>
      <c r="D49" t="s">
        <v>237</v>
      </c>
      <c r="E49" t="s">
        <v>233</v>
      </c>
      <c r="F49" t="s">
        <v>8</v>
      </c>
      <c r="G49">
        <v>76960970</v>
      </c>
      <c r="H49" t="s">
        <v>238</v>
      </c>
      <c r="I49" t="s">
        <v>239</v>
      </c>
      <c r="J49" t="s">
        <v>46</v>
      </c>
      <c r="K49">
        <v>7</v>
      </c>
      <c r="L49">
        <v>11</v>
      </c>
      <c r="M49">
        <v>2029</v>
      </c>
      <c r="N49" t="s">
        <v>47</v>
      </c>
      <c r="O49" s="5">
        <f>DATE(Tabela1[[#This Row],[vigencia ano]],Tabela1[[#This Row],[vigencia mês]],Tabela1[[#This Row],[vigencia dia]])</f>
        <v>47429</v>
      </c>
    </row>
    <row r="50" spans="1:15" x14ac:dyDescent="0.25">
      <c r="A50" t="s">
        <v>41</v>
      </c>
      <c r="B50" t="s">
        <v>240</v>
      </c>
      <c r="C50" s="1">
        <v>13564310000180</v>
      </c>
      <c r="D50" t="s">
        <v>241</v>
      </c>
      <c r="E50" t="s">
        <v>242</v>
      </c>
      <c r="F50" t="s">
        <v>8</v>
      </c>
      <c r="G50">
        <v>76801870</v>
      </c>
      <c r="H50" t="s">
        <v>243</v>
      </c>
      <c r="I50" t="s">
        <v>244</v>
      </c>
      <c r="J50" t="s">
        <v>56</v>
      </c>
      <c r="K50">
        <v>10</v>
      </c>
      <c r="L50">
        <v>4</v>
      </c>
      <c r="M50">
        <v>2031</v>
      </c>
      <c r="N50" t="s">
        <v>47</v>
      </c>
      <c r="O50" s="5">
        <f>DATE(Tabela1[[#This Row],[vigencia ano]],Tabela1[[#This Row],[vigencia mês]],Tabela1[[#This Row],[vigencia dia]])</f>
        <v>47948</v>
      </c>
    </row>
    <row r="51" spans="1:15" x14ac:dyDescent="0.25">
      <c r="A51" t="s">
        <v>41</v>
      </c>
      <c r="B51" t="s">
        <v>245</v>
      </c>
      <c r="C51" s="1">
        <v>84552827000106</v>
      </c>
      <c r="D51" t="s">
        <v>246</v>
      </c>
      <c r="E51" t="s">
        <v>242</v>
      </c>
      <c r="F51" t="s">
        <v>8</v>
      </c>
      <c r="G51">
        <v>76820888</v>
      </c>
      <c r="H51" t="s">
        <v>247</v>
      </c>
      <c r="I51" t="s">
        <v>248</v>
      </c>
      <c r="J51" t="s">
        <v>56</v>
      </c>
      <c r="K51">
        <v>11</v>
      </c>
      <c r="L51">
        <v>8</v>
      </c>
      <c r="M51">
        <v>2021</v>
      </c>
      <c r="N51" t="s">
        <v>47</v>
      </c>
      <c r="O51" s="5">
        <f>DATE(Tabela1[[#This Row],[vigencia ano]],Tabela1[[#This Row],[vigencia mês]],Tabela1[[#This Row],[vigencia dia]])</f>
        <v>44419</v>
      </c>
    </row>
    <row r="52" spans="1:15" x14ac:dyDescent="0.25">
      <c r="A52" t="s">
        <v>41</v>
      </c>
      <c r="B52" t="s">
        <v>249</v>
      </c>
      <c r="C52" s="1">
        <v>17589247000198</v>
      </c>
      <c r="D52" t="s">
        <v>250</v>
      </c>
      <c r="E52" t="s">
        <v>242</v>
      </c>
      <c r="F52" t="s">
        <v>8</v>
      </c>
      <c r="G52">
        <v>76801370</v>
      </c>
      <c r="H52" t="s">
        <v>251</v>
      </c>
      <c r="I52" t="s">
        <v>252</v>
      </c>
      <c r="J52" t="s">
        <v>46</v>
      </c>
      <c r="K52">
        <v>9</v>
      </c>
      <c r="L52">
        <v>1</v>
      </c>
      <c r="M52">
        <v>2033</v>
      </c>
      <c r="N52" t="s">
        <v>47</v>
      </c>
      <c r="O52" s="5">
        <f>DATE(Tabela1[[#This Row],[vigencia ano]],Tabela1[[#This Row],[vigencia mês]],Tabela1[[#This Row],[vigencia dia]])</f>
        <v>48588</v>
      </c>
    </row>
    <row r="53" spans="1:15" x14ac:dyDescent="0.25">
      <c r="A53" t="s">
        <v>41</v>
      </c>
      <c r="B53" t="s">
        <v>253</v>
      </c>
      <c r="C53" s="1">
        <v>62768709000199</v>
      </c>
      <c r="D53" t="s">
        <v>254</v>
      </c>
      <c r="E53" t="s">
        <v>242</v>
      </c>
      <c r="F53" t="s">
        <v>8</v>
      </c>
      <c r="G53">
        <v>76801501</v>
      </c>
      <c r="H53" t="s">
        <v>255</v>
      </c>
      <c r="I53" t="s">
        <v>256</v>
      </c>
      <c r="J53" t="s">
        <v>56</v>
      </c>
      <c r="K53">
        <v>11</v>
      </c>
      <c r="L53">
        <v>10</v>
      </c>
      <c r="M53">
        <v>2035</v>
      </c>
      <c r="N53" t="s">
        <v>257</v>
      </c>
      <c r="O53" s="5">
        <f>DATE(Tabela1[[#This Row],[vigencia ano]],Tabela1[[#This Row],[vigencia mês]],Tabela1[[#This Row],[vigencia dia]])</f>
        <v>49593</v>
      </c>
    </row>
    <row r="54" spans="1:15" x14ac:dyDescent="0.25">
      <c r="A54" t="s">
        <v>41</v>
      </c>
      <c r="B54" t="s">
        <v>258</v>
      </c>
      <c r="C54" s="1">
        <v>23589040000116</v>
      </c>
      <c r="D54" t="s">
        <v>259</v>
      </c>
      <c r="E54" t="s">
        <v>260</v>
      </c>
      <c r="F54" t="s">
        <v>12</v>
      </c>
      <c r="G54">
        <v>69932000</v>
      </c>
      <c r="H54" t="s">
        <v>261</v>
      </c>
      <c r="I54" t="s">
        <v>262</v>
      </c>
      <c r="J54" t="s">
        <v>56</v>
      </c>
      <c r="K54">
        <v>1</v>
      </c>
      <c r="L54">
        <v>27</v>
      </c>
      <c r="M54">
        <v>2030</v>
      </c>
      <c r="N54" t="s">
        <v>47</v>
      </c>
      <c r="O54" s="5">
        <f>DATE(Tabela1[[#This Row],[vigencia ano]],Tabela1[[#This Row],[vigencia mês]],Tabela1[[#This Row],[vigencia dia]])</f>
        <v>48274</v>
      </c>
    </row>
    <row r="55" spans="1:15" x14ac:dyDescent="0.25">
      <c r="A55" t="s">
        <v>41</v>
      </c>
      <c r="B55" t="s">
        <v>263</v>
      </c>
      <c r="C55" s="1">
        <v>10541783000174</v>
      </c>
      <c r="D55" t="s">
        <v>264</v>
      </c>
      <c r="E55" t="s">
        <v>265</v>
      </c>
      <c r="F55" t="s">
        <v>12</v>
      </c>
      <c r="G55">
        <v>69917748</v>
      </c>
      <c r="H55" t="s">
        <v>266</v>
      </c>
      <c r="I55" t="s">
        <v>267</v>
      </c>
      <c r="J55" t="s">
        <v>56</v>
      </c>
      <c r="K55">
        <v>9</v>
      </c>
      <c r="L55">
        <v>3</v>
      </c>
      <c r="M55">
        <v>2028</v>
      </c>
      <c r="N55" t="s">
        <v>47</v>
      </c>
      <c r="O55" s="5">
        <f>DATE(Tabela1[[#This Row],[vigencia ano]],Tabela1[[#This Row],[vigencia mês]],Tabela1[[#This Row],[vigencia dia]])</f>
        <v>46821</v>
      </c>
    </row>
    <row r="56" spans="1:15" x14ac:dyDescent="0.25">
      <c r="A56" t="s">
        <v>41</v>
      </c>
      <c r="B56" t="s">
        <v>268</v>
      </c>
      <c r="C56" s="1">
        <v>4443961000121</v>
      </c>
      <c r="D56" t="s">
        <v>269</v>
      </c>
      <c r="E56" t="s">
        <v>270</v>
      </c>
      <c r="F56" t="s">
        <v>5</v>
      </c>
      <c r="G56">
        <v>69421000</v>
      </c>
      <c r="H56" t="s">
        <v>271</v>
      </c>
      <c r="I56" t="s">
        <v>272</v>
      </c>
      <c r="J56" t="s">
        <v>56</v>
      </c>
      <c r="K56">
        <v>6</v>
      </c>
      <c r="L56">
        <v>15</v>
      </c>
      <c r="M56">
        <v>2033</v>
      </c>
      <c r="N56" t="s">
        <v>47</v>
      </c>
      <c r="O56" s="5">
        <f>DATE(Tabela1[[#This Row],[vigencia ano]],Tabela1[[#This Row],[vigencia mês]],Tabela1[[#This Row],[vigencia dia]])</f>
        <v>49009</v>
      </c>
    </row>
    <row r="57" spans="1:15" x14ac:dyDescent="0.25">
      <c r="A57" t="s">
        <v>41</v>
      </c>
      <c r="B57" t="s">
        <v>273</v>
      </c>
      <c r="C57" s="1">
        <v>84084383000113</v>
      </c>
      <c r="D57" t="s">
        <v>274</v>
      </c>
      <c r="E57" t="s">
        <v>275</v>
      </c>
      <c r="F57" t="s">
        <v>5</v>
      </c>
      <c r="G57">
        <v>69400797</v>
      </c>
      <c r="H57" t="s">
        <v>276</v>
      </c>
      <c r="I57" t="s">
        <v>277</v>
      </c>
      <c r="J57" t="s">
        <v>56</v>
      </c>
      <c r="K57">
        <v>8</v>
      </c>
      <c r="L57">
        <v>22</v>
      </c>
      <c r="M57">
        <v>2032</v>
      </c>
      <c r="N57" t="s">
        <v>47</v>
      </c>
      <c r="O57" s="5">
        <f>DATE(Tabela1[[#This Row],[vigencia ano]],Tabela1[[#This Row],[vigencia mês]],Tabela1[[#This Row],[vigencia dia]])</f>
        <v>48860</v>
      </c>
    </row>
    <row r="58" spans="1:15" x14ac:dyDescent="0.25">
      <c r="A58" t="s">
        <v>41</v>
      </c>
      <c r="B58" t="s">
        <v>278</v>
      </c>
      <c r="C58" s="1">
        <v>608456000139</v>
      </c>
      <c r="D58" t="s">
        <v>279</v>
      </c>
      <c r="E58" t="s">
        <v>275</v>
      </c>
      <c r="F58" t="s">
        <v>5</v>
      </c>
      <c r="G58">
        <v>69401278</v>
      </c>
      <c r="H58" t="s">
        <v>280</v>
      </c>
      <c r="I58" t="s">
        <v>281</v>
      </c>
      <c r="J58" t="s">
        <v>56</v>
      </c>
      <c r="K58">
        <v>12</v>
      </c>
      <c r="L58">
        <v>9</v>
      </c>
      <c r="M58">
        <v>2034</v>
      </c>
      <c r="N58" t="s">
        <v>47</v>
      </c>
      <c r="O58" s="5">
        <f>DATE(Tabela1[[#This Row],[vigencia ano]],Tabela1[[#This Row],[vigencia mês]],Tabela1[[#This Row],[vigencia dia]])</f>
        <v>49199</v>
      </c>
    </row>
    <row r="59" spans="1:15" x14ac:dyDescent="0.25">
      <c r="A59" t="s">
        <v>41</v>
      </c>
      <c r="B59" t="s">
        <v>282</v>
      </c>
      <c r="C59" s="1">
        <v>7612370000129</v>
      </c>
      <c r="D59" t="s">
        <v>283</v>
      </c>
      <c r="E59" t="s">
        <v>275</v>
      </c>
      <c r="F59" t="s">
        <v>5</v>
      </c>
      <c r="G59">
        <v>69401278</v>
      </c>
      <c r="H59" t="s">
        <v>284</v>
      </c>
      <c r="I59" t="s">
        <v>285</v>
      </c>
      <c r="J59" t="s">
        <v>56</v>
      </c>
      <c r="K59">
        <v>6</v>
      </c>
      <c r="L59">
        <v>3</v>
      </c>
      <c r="M59">
        <v>2034</v>
      </c>
      <c r="N59" t="s">
        <v>47</v>
      </c>
      <c r="O59" s="5">
        <f>DATE(Tabela1[[#This Row],[vigencia ano]],Tabela1[[#This Row],[vigencia mês]],Tabela1[[#This Row],[vigencia dia]])</f>
        <v>49009</v>
      </c>
    </row>
    <row r="60" spans="1:15" x14ac:dyDescent="0.25">
      <c r="A60" t="s">
        <v>41</v>
      </c>
      <c r="B60" t="s">
        <v>286</v>
      </c>
      <c r="C60" s="1">
        <v>11023327000103</v>
      </c>
      <c r="D60" t="s">
        <v>287</v>
      </c>
      <c r="E60" t="s">
        <v>275</v>
      </c>
      <c r="F60" t="s">
        <v>5</v>
      </c>
      <c r="G60">
        <v>69401233</v>
      </c>
      <c r="H60" t="s">
        <v>288</v>
      </c>
      <c r="I60" t="s">
        <v>289</v>
      </c>
      <c r="J60" t="s">
        <v>56</v>
      </c>
      <c r="K60">
        <v>5</v>
      </c>
      <c r="L60">
        <v>12</v>
      </c>
      <c r="M60">
        <v>2035</v>
      </c>
      <c r="N60" t="s">
        <v>290</v>
      </c>
      <c r="O60" s="5">
        <f>DATE(Tabela1[[#This Row],[vigencia ano]],Tabela1[[#This Row],[vigencia mês]],Tabela1[[#This Row],[vigencia dia]])</f>
        <v>49648</v>
      </c>
    </row>
    <row r="61" spans="1:15" x14ac:dyDescent="0.25">
      <c r="A61" t="s">
        <v>41</v>
      </c>
      <c r="B61" t="s">
        <v>291</v>
      </c>
      <c r="C61" s="1">
        <v>14294484000133</v>
      </c>
      <c r="D61" t="s">
        <v>292</v>
      </c>
      <c r="E61" t="s">
        <v>275</v>
      </c>
      <c r="F61" t="s">
        <v>5</v>
      </c>
      <c r="G61">
        <v>69401278</v>
      </c>
      <c r="H61" t="s">
        <v>293</v>
      </c>
      <c r="I61" t="s">
        <v>294</v>
      </c>
      <c r="J61" t="s">
        <v>56</v>
      </c>
      <c r="K61">
        <v>2</v>
      </c>
      <c r="L61">
        <v>24</v>
      </c>
      <c r="M61">
        <v>2036</v>
      </c>
      <c r="N61" t="s">
        <v>295</v>
      </c>
      <c r="O61" s="5">
        <f>DATE(Tabela1[[#This Row],[vigencia ano]],Tabela1[[#This Row],[vigencia mês]],Tabela1[[#This Row],[vigencia dia]])</f>
        <v>50376</v>
      </c>
    </row>
    <row r="62" spans="1:15" x14ac:dyDescent="0.25">
      <c r="A62" t="s">
        <v>41</v>
      </c>
      <c r="B62" t="s">
        <v>296</v>
      </c>
      <c r="C62" s="1">
        <v>49358487000178</v>
      </c>
      <c r="D62" t="s">
        <v>297</v>
      </c>
      <c r="E62" t="s">
        <v>298</v>
      </c>
      <c r="F62" t="s">
        <v>5</v>
      </c>
      <c r="G62">
        <v>69089050</v>
      </c>
      <c r="H62" t="s">
        <v>299</v>
      </c>
      <c r="I62" t="s">
        <v>300</v>
      </c>
      <c r="J62" t="s">
        <v>56</v>
      </c>
      <c r="K62">
        <v>3</v>
      </c>
      <c r="L62">
        <v>4</v>
      </c>
      <c r="M62">
        <v>2036</v>
      </c>
      <c r="N62" t="s">
        <v>301</v>
      </c>
      <c r="O62" s="5">
        <f>DATE(Tabela1[[#This Row],[vigencia ano]],Tabela1[[#This Row],[vigencia mês]],Tabela1[[#This Row],[vigencia dia]])</f>
        <v>49768</v>
      </c>
    </row>
    <row r="63" spans="1:15" x14ac:dyDescent="0.25">
      <c r="A63" t="s">
        <v>41</v>
      </c>
      <c r="B63" t="s">
        <v>302</v>
      </c>
      <c r="C63" s="1">
        <v>18054044000160</v>
      </c>
      <c r="D63" t="s">
        <v>303</v>
      </c>
      <c r="E63" t="s">
        <v>298</v>
      </c>
      <c r="F63" t="s">
        <v>5</v>
      </c>
      <c r="G63">
        <v>69098353</v>
      </c>
      <c r="H63" t="s">
        <v>304</v>
      </c>
      <c r="I63" t="s">
        <v>305</v>
      </c>
      <c r="J63" t="s">
        <v>56</v>
      </c>
      <c r="K63">
        <v>12</v>
      </c>
      <c r="L63">
        <v>18</v>
      </c>
      <c r="M63">
        <v>2035</v>
      </c>
      <c r="N63" t="s">
        <v>306</v>
      </c>
      <c r="O63" s="5">
        <f>DATE(Tabela1[[#This Row],[vigencia ano]],Tabela1[[#This Row],[vigencia mês]],Tabela1[[#This Row],[vigencia dia]])</f>
        <v>49838</v>
      </c>
    </row>
    <row r="64" spans="1:15" x14ac:dyDescent="0.25">
      <c r="A64" t="s">
        <v>41</v>
      </c>
      <c r="B64" t="s">
        <v>307</v>
      </c>
      <c r="C64" s="1">
        <v>18525828000129</v>
      </c>
      <c r="D64" t="s">
        <v>308</v>
      </c>
      <c r="E64" t="s">
        <v>298</v>
      </c>
      <c r="F64" t="s">
        <v>5</v>
      </c>
      <c r="G64">
        <v>69028140</v>
      </c>
      <c r="H64" t="s">
        <v>309</v>
      </c>
      <c r="I64" t="s">
        <v>310</v>
      </c>
      <c r="J64" t="s">
        <v>56</v>
      </c>
      <c r="K64">
        <v>7</v>
      </c>
      <c r="L64">
        <v>22</v>
      </c>
      <c r="M64">
        <v>2035</v>
      </c>
      <c r="N64" t="s">
        <v>311</v>
      </c>
      <c r="O64" s="5">
        <f>DATE(Tabela1[[#This Row],[vigencia ano]],Tabela1[[#This Row],[vigencia mês]],Tabela1[[#This Row],[vigencia dia]])</f>
        <v>49955</v>
      </c>
    </row>
    <row r="65" spans="1:15" x14ac:dyDescent="0.25">
      <c r="A65" t="s">
        <v>41</v>
      </c>
      <c r="B65" t="s">
        <v>312</v>
      </c>
      <c r="C65" s="1">
        <v>60319235000172</v>
      </c>
      <c r="D65" t="s">
        <v>313</v>
      </c>
      <c r="E65" t="s">
        <v>298</v>
      </c>
      <c r="F65" t="s">
        <v>5</v>
      </c>
      <c r="G65">
        <v>69089035</v>
      </c>
      <c r="H65" t="s">
        <v>314</v>
      </c>
      <c r="I65" t="s">
        <v>315</v>
      </c>
      <c r="J65" t="s">
        <v>56</v>
      </c>
      <c r="K65">
        <v>9</v>
      </c>
      <c r="L65">
        <v>30</v>
      </c>
      <c r="M65">
        <v>2035</v>
      </c>
      <c r="N65" t="s">
        <v>316</v>
      </c>
      <c r="O65" s="5">
        <f>DATE(Tabela1[[#This Row],[vigencia ano]],Tabela1[[#This Row],[vigencia mês]],Tabela1[[#This Row],[vigencia dia]])</f>
        <v>50200</v>
      </c>
    </row>
    <row r="66" spans="1:15" x14ac:dyDescent="0.25">
      <c r="A66" t="s">
        <v>41</v>
      </c>
      <c r="B66" t="s">
        <v>317</v>
      </c>
      <c r="C66" s="1">
        <v>62325982000149</v>
      </c>
      <c r="D66" t="s">
        <v>318</v>
      </c>
      <c r="E66" t="s">
        <v>298</v>
      </c>
      <c r="F66" t="s">
        <v>5</v>
      </c>
      <c r="G66">
        <v>69010020</v>
      </c>
      <c r="H66" t="s">
        <v>319</v>
      </c>
      <c r="I66" t="s">
        <v>320</v>
      </c>
      <c r="J66" t="s">
        <v>56</v>
      </c>
      <c r="K66">
        <v>10</v>
      </c>
      <c r="L66">
        <v>21</v>
      </c>
      <c r="M66">
        <v>2035</v>
      </c>
      <c r="N66" t="s">
        <v>321</v>
      </c>
      <c r="O66" s="5">
        <f>DATE(Tabela1[[#This Row],[vigencia ano]],Tabela1[[#This Row],[vigencia mês]],Tabela1[[#This Row],[vigencia dia]])</f>
        <v>49928</v>
      </c>
    </row>
    <row r="67" spans="1:15" x14ac:dyDescent="0.25">
      <c r="A67" t="s">
        <v>41</v>
      </c>
      <c r="B67" t="s">
        <v>322</v>
      </c>
      <c r="C67" s="1">
        <v>26278985000105</v>
      </c>
      <c r="D67" t="s">
        <v>323</v>
      </c>
      <c r="E67" t="s">
        <v>298</v>
      </c>
      <c r="F67" t="s">
        <v>5</v>
      </c>
      <c r="G67">
        <v>69072055</v>
      </c>
      <c r="H67" t="s">
        <v>324</v>
      </c>
      <c r="I67" t="s">
        <v>325</v>
      </c>
      <c r="J67" t="s">
        <v>56</v>
      </c>
      <c r="K67">
        <v>11</v>
      </c>
      <c r="L67">
        <v>16</v>
      </c>
      <c r="M67">
        <v>2026</v>
      </c>
      <c r="N67" t="s">
        <v>47</v>
      </c>
      <c r="O67" s="5">
        <f>DATE(Tabela1[[#This Row],[vigencia ano]],Tabela1[[#This Row],[vigencia mês]],Tabela1[[#This Row],[vigencia dia]])</f>
        <v>46488</v>
      </c>
    </row>
    <row r="68" spans="1:15" x14ac:dyDescent="0.25">
      <c r="A68" t="s">
        <v>41</v>
      </c>
      <c r="B68" t="s">
        <v>326</v>
      </c>
      <c r="C68" s="1">
        <v>1903750000136</v>
      </c>
      <c r="D68" t="s">
        <v>327</v>
      </c>
      <c r="E68" t="s">
        <v>298</v>
      </c>
      <c r="F68" t="s">
        <v>5</v>
      </c>
      <c r="G68">
        <v>69037140</v>
      </c>
      <c r="H68" t="s">
        <v>328</v>
      </c>
      <c r="I68" t="s">
        <v>329</v>
      </c>
      <c r="J68" t="s">
        <v>46</v>
      </c>
      <c r="K68">
        <v>3</v>
      </c>
      <c r="L68">
        <v>13</v>
      </c>
      <c r="M68">
        <v>2035</v>
      </c>
      <c r="N68" t="s">
        <v>330</v>
      </c>
      <c r="O68" s="5">
        <f>DATE(Tabela1[[#This Row],[vigencia ano]],Tabela1[[#This Row],[vigencia mês]],Tabela1[[#This Row],[vigencia dia]])</f>
        <v>49677</v>
      </c>
    </row>
    <row r="69" spans="1:15" x14ac:dyDescent="0.25">
      <c r="A69" t="s">
        <v>41</v>
      </c>
      <c r="B69" t="s">
        <v>331</v>
      </c>
      <c r="C69" s="1">
        <v>20735946000456</v>
      </c>
      <c r="D69" t="s">
        <v>332</v>
      </c>
      <c r="E69" t="s">
        <v>298</v>
      </c>
      <c r="F69" t="s">
        <v>5</v>
      </c>
      <c r="G69">
        <v>69079310</v>
      </c>
      <c r="H69" t="s">
        <v>333</v>
      </c>
      <c r="I69" t="s">
        <v>334</v>
      </c>
      <c r="J69" t="s">
        <v>56</v>
      </c>
      <c r="K69">
        <v>4</v>
      </c>
      <c r="L69">
        <v>4</v>
      </c>
      <c r="M69">
        <v>2035</v>
      </c>
      <c r="N69" t="s">
        <v>335</v>
      </c>
      <c r="O69" s="5">
        <f>DATE(Tabela1[[#This Row],[vigencia ano]],Tabela1[[#This Row],[vigencia mês]],Tabela1[[#This Row],[vigencia dia]])</f>
        <v>49403</v>
      </c>
    </row>
    <row r="70" spans="1:15" x14ac:dyDescent="0.25">
      <c r="A70" t="s">
        <v>41</v>
      </c>
      <c r="B70" t="s">
        <v>336</v>
      </c>
      <c r="C70" s="1">
        <v>23605612000103</v>
      </c>
      <c r="D70" t="s">
        <v>337</v>
      </c>
      <c r="E70" t="s">
        <v>298</v>
      </c>
      <c r="F70" t="s">
        <v>5</v>
      </c>
      <c r="G70">
        <v>69058826</v>
      </c>
      <c r="H70" t="s">
        <v>338</v>
      </c>
      <c r="I70" t="s">
        <v>339</v>
      </c>
      <c r="J70" t="s">
        <v>56</v>
      </c>
      <c r="K70">
        <v>7</v>
      </c>
      <c r="L70">
        <v>26</v>
      </c>
      <c r="M70">
        <v>2031</v>
      </c>
      <c r="N70" t="s">
        <v>47</v>
      </c>
      <c r="O70" s="5">
        <f>DATE(Tabela1[[#This Row],[vigencia ano]],Tabela1[[#This Row],[vigencia mês]],Tabela1[[#This Row],[vigencia dia]])</f>
        <v>48617</v>
      </c>
    </row>
    <row r="71" spans="1:15" x14ac:dyDescent="0.25">
      <c r="A71" t="s">
        <v>41</v>
      </c>
      <c r="B71" t="s">
        <v>340</v>
      </c>
      <c r="C71" s="1">
        <v>17026052000130</v>
      </c>
      <c r="D71" t="s">
        <v>341</v>
      </c>
      <c r="E71" t="s">
        <v>298</v>
      </c>
      <c r="F71" t="s">
        <v>5</v>
      </c>
      <c r="G71">
        <v>69029130</v>
      </c>
      <c r="H71" t="s">
        <v>342</v>
      </c>
      <c r="I71" t="s">
        <v>343</v>
      </c>
      <c r="J71" t="s">
        <v>46</v>
      </c>
      <c r="K71">
        <v>9</v>
      </c>
      <c r="L71">
        <v>29</v>
      </c>
      <c r="M71">
        <v>2027</v>
      </c>
      <c r="N71" t="s">
        <v>47</v>
      </c>
      <c r="O71" s="5">
        <f>DATE(Tabela1[[#This Row],[vigencia ano]],Tabela1[[#This Row],[vigencia mês]],Tabela1[[#This Row],[vigencia dia]])</f>
        <v>47247</v>
      </c>
    </row>
    <row r="72" spans="1:15" x14ac:dyDescent="0.25">
      <c r="A72" t="s">
        <v>41</v>
      </c>
      <c r="B72" t="s">
        <v>340</v>
      </c>
      <c r="C72" s="1">
        <v>17026052000130</v>
      </c>
      <c r="D72" t="s">
        <v>341</v>
      </c>
      <c r="E72" t="s">
        <v>298</v>
      </c>
      <c r="F72" t="s">
        <v>5</v>
      </c>
      <c r="G72">
        <v>69029130</v>
      </c>
      <c r="H72" t="s">
        <v>344</v>
      </c>
      <c r="I72" t="s">
        <v>343</v>
      </c>
      <c r="J72" t="s">
        <v>46</v>
      </c>
      <c r="K72">
        <v>9</v>
      </c>
      <c r="L72">
        <v>29</v>
      </c>
      <c r="M72">
        <v>2027</v>
      </c>
      <c r="N72" t="s">
        <v>47</v>
      </c>
      <c r="O72" s="5">
        <f>DATE(Tabela1[[#This Row],[vigencia ano]],Tabela1[[#This Row],[vigencia mês]],Tabela1[[#This Row],[vigencia dia]])</f>
        <v>47247</v>
      </c>
    </row>
    <row r="73" spans="1:15" x14ac:dyDescent="0.25">
      <c r="A73" t="s">
        <v>41</v>
      </c>
      <c r="B73" t="s">
        <v>345</v>
      </c>
      <c r="C73" s="1">
        <v>11821060000191</v>
      </c>
      <c r="D73" t="s">
        <v>346</v>
      </c>
      <c r="E73" t="s">
        <v>298</v>
      </c>
      <c r="F73" t="s">
        <v>5</v>
      </c>
      <c r="G73">
        <v>69057040</v>
      </c>
      <c r="H73" t="s">
        <v>347</v>
      </c>
      <c r="I73" t="s">
        <v>348</v>
      </c>
      <c r="J73" t="s">
        <v>56</v>
      </c>
      <c r="K73">
        <v>3</v>
      </c>
      <c r="L73">
        <v>21</v>
      </c>
      <c r="M73">
        <v>2032</v>
      </c>
      <c r="N73" t="s">
        <v>47</v>
      </c>
      <c r="O73" s="5">
        <f>DATE(Tabela1[[#This Row],[vigencia ano]],Tabela1[[#This Row],[vigencia mês]],Tabela1[[#This Row],[vigencia dia]])</f>
        <v>48825</v>
      </c>
    </row>
    <row r="74" spans="1:15" x14ac:dyDescent="0.25">
      <c r="A74" t="s">
        <v>41</v>
      </c>
      <c r="B74" t="s">
        <v>349</v>
      </c>
      <c r="C74" s="1">
        <v>11094826000183</v>
      </c>
      <c r="D74" t="s">
        <v>350</v>
      </c>
      <c r="E74" t="s">
        <v>298</v>
      </c>
      <c r="F74" t="s">
        <v>5</v>
      </c>
      <c r="G74">
        <v>69041010</v>
      </c>
      <c r="H74" t="s">
        <v>351</v>
      </c>
      <c r="I74" t="s">
        <v>352</v>
      </c>
      <c r="J74" t="s">
        <v>56</v>
      </c>
      <c r="K74">
        <v>4</v>
      </c>
      <c r="L74">
        <v>3</v>
      </c>
      <c r="M74">
        <v>2030</v>
      </c>
      <c r="N74" t="s">
        <v>47</v>
      </c>
      <c r="O74" s="5">
        <f>DATE(Tabela1[[#This Row],[vigencia ano]],Tabela1[[#This Row],[vigencia mês]],Tabela1[[#This Row],[vigencia dia]])</f>
        <v>47546</v>
      </c>
    </row>
    <row r="75" spans="1:15" x14ac:dyDescent="0.25">
      <c r="A75" t="s">
        <v>41</v>
      </c>
      <c r="B75" t="s">
        <v>353</v>
      </c>
      <c r="C75" s="1">
        <v>35336375000101</v>
      </c>
      <c r="D75" t="s">
        <v>354</v>
      </c>
      <c r="E75" t="s">
        <v>298</v>
      </c>
      <c r="F75" t="s">
        <v>5</v>
      </c>
      <c r="G75">
        <v>69099415</v>
      </c>
      <c r="H75" t="s">
        <v>355</v>
      </c>
      <c r="I75" t="s">
        <v>356</v>
      </c>
      <c r="J75" t="s">
        <v>56</v>
      </c>
      <c r="K75">
        <v>6</v>
      </c>
      <c r="L75">
        <v>18</v>
      </c>
      <c r="M75">
        <v>2034</v>
      </c>
      <c r="N75" t="s">
        <v>47</v>
      </c>
      <c r="O75" s="5">
        <f>DATE(Tabela1[[#This Row],[vigencia ano]],Tabela1[[#This Row],[vigencia mês]],Tabela1[[#This Row],[vigencia dia]])</f>
        <v>49466</v>
      </c>
    </row>
    <row r="76" spans="1:15" x14ac:dyDescent="0.25">
      <c r="A76" t="s">
        <v>41</v>
      </c>
      <c r="B76" t="s">
        <v>357</v>
      </c>
      <c r="C76" s="1">
        <v>22995633000110</v>
      </c>
      <c r="D76" t="s">
        <v>358</v>
      </c>
      <c r="E76" t="s">
        <v>298</v>
      </c>
      <c r="F76" t="s">
        <v>5</v>
      </c>
      <c r="G76">
        <v>69054000</v>
      </c>
      <c r="H76" t="s">
        <v>359</v>
      </c>
      <c r="I76" t="s">
        <v>360</v>
      </c>
      <c r="J76" t="s">
        <v>56</v>
      </c>
      <c r="K76">
        <v>10</v>
      </c>
      <c r="L76">
        <v>22</v>
      </c>
      <c r="M76">
        <v>2025</v>
      </c>
      <c r="N76" t="s">
        <v>47</v>
      </c>
      <c r="O76" s="5">
        <f>DATE(Tabela1[[#This Row],[vigencia ano]],Tabela1[[#This Row],[vigencia mês]],Tabela1[[#This Row],[vigencia dia]])</f>
        <v>46305</v>
      </c>
    </row>
    <row r="77" spans="1:15" x14ac:dyDescent="0.25">
      <c r="A77" t="s">
        <v>41</v>
      </c>
      <c r="B77" t="s">
        <v>361</v>
      </c>
      <c r="C77" s="1">
        <v>11699398000112</v>
      </c>
      <c r="D77" t="s">
        <v>362</v>
      </c>
      <c r="E77" t="s">
        <v>298</v>
      </c>
      <c r="F77" t="s">
        <v>5</v>
      </c>
      <c r="G77">
        <v>69041010</v>
      </c>
      <c r="H77" t="s">
        <v>363</v>
      </c>
      <c r="I77" t="s">
        <v>364</v>
      </c>
      <c r="J77" t="s">
        <v>56</v>
      </c>
      <c r="K77">
        <v>4</v>
      </c>
      <c r="L77">
        <v>2</v>
      </c>
      <c r="M77">
        <v>2024</v>
      </c>
      <c r="N77" t="s">
        <v>47</v>
      </c>
      <c r="O77" s="5">
        <f>DATE(Tabela1[[#This Row],[vigencia ano]],Tabela1[[#This Row],[vigencia mês]],Tabela1[[#This Row],[vigencia dia]])</f>
        <v>45326</v>
      </c>
    </row>
    <row r="78" spans="1:15" x14ac:dyDescent="0.25">
      <c r="A78" t="s">
        <v>41</v>
      </c>
      <c r="B78" t="s">
        <v>365</v>
      </c>
      <c r="C78" s="1">
        <v>34607811000177</v>
      </c>
      <c r="D78" t="s">
        <v>366</v>
      </c>
      <c r="E78" t="s">
        <v>298</v>
      </c>
      <c r="F78" t="s">
        <v>5</v>
      </c>
      <c r="G78">
        <v>69027731</v>
      </c>
      <c r="H78" t="s">
        <v>367</v>
      </c>
      <c r="I78" t="s">
        <v>368</v>
      </c>
      <c r="J78" t="s">
        <v>56</v>
      </c>
      <c r="K78">
        <v>10</v>
      </c>
      <c r="L78">
        <v>15</v>
      </c>
      <c r="M78">
        <v>2031</v>
      </c>
      <c r="N78" t="s">
        <v>47</v>
      </c>
      <c r="O78" s="5">
        <f>DATE(Tabela1[[#This Row],[vigencia ano]],Tabela1[[#This Row],[vigencia mês]],Tabela1[[#This Row],[vigencia dia]])</f>
        <v>48283</v>
      </c>
    </row>
    <row r="79" spans="1:15" x14ac:dyDescent="0.25">
      <c r="A79" t="s">
        <v>41</v>
      </c>
      <c r="B79" t="s">
        <v>369</v>
      </c>
      <c r="C79" s="1">
        <v>4473078000184</v>
      </c>
      <c r="D79" t="s">
        <v>370</v>
      </c>
      <c r="E79" t="s">
        <v>298</v>
      </c>
      <c r="F79" t="s">
        <v>5</v>
      </c>
      <c r="G79">
        <v>69058810</v>
      </c>
      <c r="H79" t="s">
        <v>371</v>
      </c>
      <c r="I79" t="s">
        <v>372</v>
      </c>
      <c r="J79" t="s">
        <v>56</v>
      </c>
      <c r="K79">
        <v>9</v>
      </c>
      <c r="L79">
        <v>13</v>
      </c>
      <c r="M79">
        <v>2033</v>
      </c>
      <c r="N79" t="s">
        <v>47</v>
      </c>
      <c r="O79" s="5">
        <f>DATE(Tabela1[[#This Row],[vigencia ano]],Tabela1[[#This Row],[vigencia mês]],Tabela1[[#This Row],[vigencia dia]])</f>
        <v>48953</v>
      </c>
    </row>
    <row r="80" spans="1:15" x14ac:dyDescent="0.25">
      <c r="A80" t="s">
        <v>41</v>
      </c>
      <c r="B80" t="s">
        <v>373</v>
      </c>
      <c r="C80" s="1">
        <v>84010040000104</v>
      </c>
      <c r="D80" t="s">
        <v>374</v>
      </c>
      <c r="E80" t="s">
        <v>298</v>
      </c>
      <c r="F80" t="s">
        <v>5</v>
      </c>
      <c r="G80">
        <v>69041010</v>
      </c>
      <c r="H80" t="s">
        <v>375</v>
      </c>
      <c r="I80" t="s">
        <v>376</v>
      </c>
      <c r="J80" t="s">
        <v>56</v>
      </c>
      <c r="K80">
        <v>12</v>
      </c>
      <c r="L80">
        <v>4</v>
      </c>
      <c r="M80">
        <v>2033</v>
      </c>
      <c r="N80" t="s">
        <v>47</v>
      </c>
      <c r="O80" s="5">
        <f>DATE(Tabela1[[#This Row],[vigencia ano]],Tabela1[[#This Row],[vigencia mês]],Tabela1[[#This Row],[vigencia dia]])</f>
        <v>48681</v>
      </c>
    </row>
    <row r="81" spans="1:15" x14ac:dyDescent="0.25">
      <c r="A81" t="s">
        <v>41</v>
      </c>
      <c r="B81" t="s">
        <v>377</v>
      </c>
      <c r="C81" s="1">
        <v>6522265000136</v>
      </c>
      <c r="D81" t="s">
        <v>378</v>
      </c>
      <c r="E81" t="s">
        <v>298</v>
      </c>
      <c r="F81" t="s">
        <v>5</v>
      </c>
      <c r="G81">
        <v>69083000</v>
      </c>
      <c r="H81" t="s">
        <v>379</v>
      </c>
      <c r="I81" t="s">
        <v>380</v>
      </c>
      <c r="J81" t="s">
        <v>56</v>
      </c>
      <c r="K81">
        <v>7</v>
      </c>
      <c r="L81">
        <v>13</v>
      </c>
      <c r="M81">
        <v>2028</v>
      </c>
      <c r="N81" t="s">
        <v>47</v>
      </c>
      <c r="O81" s="5">
        <f>DATE(Tabela1[[#This Row],[vigencia ano]],Tabela1[[#This Row],[vigencia mês]],Tabela1[[#This Row],[vigencia dia]])</f>
        <v>47125</v>
      </c>
    </row>
    <row r="82" spans="1:15" x14ac:dyDescent="0.25">
      <c r="A82" t="s">
        <v>41</v>
      </c>
      <c r="B82" t="s">
        <v>381</v>
      </c>
      <c r="C82" s="1">
        <v>13639824000158</v>
      </c>
      <c r="D82" t="s">
        <v>382</v>
      </c>
      <c r="E82" t="s">
        <v>298</v>
      </c>
      <c r="F82" t="s">
        <v>5</v>
      </c>
      <c r="G82">
        <v>69028140</v>
      </c>
      <c r="H82" t="s">
        <v>383</v>
      </c>
      <c r="I82" t="s">
        <v>384</v>
      </c>
      <c r="J82" t="s">
        <v>56</v>
      </c>
      <c r="K82">
        <v>5</v>
      </c>
      <c r="L82">
        <v>10</v>
      </c>
      <c r="M82">
        <v>2026</v>
      </c>
      <c r="N82" t="s">
        <v>47</v>
      </c>
      <c r="O82" s="5">
        <f>DATE(Tabela1[[#This Row],[vigencia ano]],Tabela1[[#This Row],[vigencia mês]],Tabela1[[#This Row],[vigencia dia]])</f>
        <v>46300</v>
      </c>
    </row>
    <row r="83" spans="1:15" x14ac:dyDescent="0.25">
      <c r="A83" t="s">
        <v>41</v>
      </c>
      <c r="B83" t="s">
        <v>385</v>
      </c>
      <c r="C83" s="1">
        <v>44142950000126</v>
      </c>
      <c r="D83" t="s">
        <v>386</v>
      </c>
      <c r="E83" t="s">
        <v>298</v>
      </c>
      <c r="F83" t="s">
        <v>5</v>
      </c>
      <c r="G83">
        <v>69041025</v>
      </c>
      <c r="H83" t="s">
        <v>387</v>
      </c>
      <c r="I83" t="s">
        <v>388</v>
      </c>
      <c r="J83" t="s">
        <v>56</v>
      </c>
      <c r="K83">
        <v>6</v>
      </c>
      <c r="L83">
        <v>21</v>
      </c>
      <c r="M83">
        <v>2032</v>
      </c>
      <c r="N83" t="s">
        <v>47</v>
      </c>
      <c r="O83" s="5">
        <f>DATE(Tabela1[[#This Row],[vigencia ano]],Tabela1[[#This Row],[vigencia mês]],Tabela1[[#This Row],[vigencia dia]])</f>
        <v>48828</v>
      </c>
    </row>
    <row r="84" spans="1:15" x14ac:dyDescent="0.25">
      <c r="A84" t="s">
        <v>41</v>
      </c>
      <c r="B84" t="s">
        <v>389</v>
      </c>
      <c r="C84" s="1">
        <v>13518649000140</v>
      </c>
      <c r="D84" t="s">
        <v>390</v>
      </c>
      <c r="E84" t="s">
        <v>298</v>
      </c>
      <c r="F84" t="s">
        <v>5</v>
      </c>
      <c r="G84">
        <v>69036520</v>
      </c>
      <c r="H84" t="s">
        <v>391</v>
      </c>
      <c r="I84" t="s">
        <v>392</v>
      </c>
      <c r="J84" t="s">
        <v>56</v>
      </c>
      <c r="K84">
        <v>7</v>
      </c>
      <c r="L84">
        <v>24</v>
      </c>
      <c r="M84">
        <v>2022</v>
      </c>
      <c r="N84" t="s">
        <v>47</v>
      </c>
      <c r="O84" s="5">
        <f>DATE(Tabela1[[#This Row],[vigencia ano]],Tabela1[[#This Row],[vigencia mês]],Tabela1[[#This Row],[vigencia dia]])</f>
        <v>45267</v>
      </c>
    </row>
    <row r="85" spans="1:15" x14ac:dyDescent="0.25">
      <c r="A85" t="s">
        <v>41</v>
      </c>
      <c r="B85" t="s">
        <v>393</v>
      </c>
      <c r="C85" s="1">
        <v>21026335000159</v>
      </c>
      <c r="D85" t="s">
        <v>394</v>
      </c>
      <c r="E85" t="s">
        <v>298</v>
      </c>
      <c r="F85" t="s">
        <v>5</v>
      </c>
      <c r="G85">
        <v>69075120</v>
      </c>
      <c r="H85" t="s">
        <v>395</v>
      </c>
      <c r="I85" t="s">
        <v>396</v>
      </c>
      <c r="J85" t="s">
        <v>56</v>
      </c>
      <c r="K85">
        <v>6</v>
      </c>
      <c r="L85">
        <v>1</v>
      </c>
      <c r="M85">
        <v>2027</v>
      </c>
      <c r="N85" t="s">
        <v>47</v>
      </c>
      <c r="O85" s="5">
        <f>DATE(Tabela1[[#This Row],[vigencia ano]],Tabela1[[#This Row],[vigencia mês]],Tabela1[[#This Row],[vigencia dia]])</f>
        <v>46393</v>
      </c>
    </row>
    <row r="86" spans="1:15" x14ac:dyDescent="0.25">
      <c r="A86" t="s">
        <v>41</v>
      </c>
      <c r="B86" t="s">
        <v>397</v>
      </c>
      <c r="C86" s="1">
        <v>42143865000157</v>
      </c>
      <c r="D86" t="s">
        <v>398</v>
      </c>
      <c r="E86" t="s">
        <v>298</v>
      </c>
      <c r="F86" t="s">
        <v>5</v>
      </c>
      <c r="G86">
        <v>69048350</v>
      </c>
      <c r="H86" t="s">
        <v>399</v>
      </c>
      <c r="I86" t="s">
        <v>400</v>
      </c>
      <c r="J86" t="s">
        <v>56</v>
      </c>
      <c r="K86">
        <v>5</v>
      </c>
      <c r="L86">
        <v>31</v>
      </c>
      <c r="M86">
        <v>2033</v>
      </c>
      <c r="N86" t="s">
        <v>47</v>
      </c>
      <c r="O86" s="5">
        <f>DATE(Tabela1[[#This Row],[vigencia ano]],Tabela1[[#This Row],[vigencia mês]],Tabela1[[#This Row],[vigencia dia]])</f>
        <v>49495</v>
      </c>
    </row>
    <row r="87" spans="1:15" x14ac:dyDescent="0.25">
      <c r="A87" t="s">
        <v>41</v>
      </c>
      <c r="B87" t="s">
        <v>401</v>
      </c>
      <c r="C87" s="1">
        <v>63730014000180</v>
      </c>
      <c r="D87" t="s">
        <v>402</v>
      </c>
      <c r="E87" t="s">
        <v>298</v>
      </c>
      <c r="F87" t="s">
        <v>5</v>
      </c>
      <c r="G87">
        <v>69097235</v>
      </c>
      <c r="H87" t="s">
        <v>403</v>
      </c>
      <c r="I87" t="s">
        <v>404</v>
      </c>
      <c r="J87" t="s">
        <v>56</v>
      </c>
      <c r="K87">
        <v>6</v>
      </c>
      <c r="L87">
        <v>10</v>
      </c>
      <c r="M87">
        <v>2025</v>
      </c>
      <c r="N87" t="s">
        <v>47</v>
      </c>
      <c r="O87" s="5">
        <f>DATE(Tabela1[[#This Row],[vigencia ano]],Tabela1[[#This Row],[vigencia mês]],Tabela1[[#This Row],[vigencia dia]])</f>
        <v>45936</v>
      </c>
    </row>
    <row r="88" spans="1:15" x14ac:dyDescent="0.25">
      <c r="A88" t="s">
        <v>41</v>
      </c>
      <c r="B88" t="s">
        <v>405</v>
      </c>
      <c r="C88" s="1">
        <v>6044947000180</v>
      </c>
      <c r="D88" t="s">
        <v>406</v>
      </c>
      <c r="E88" t="s">
        <v>298</v>
      </c>
      <c r="F88" t="s">
        <v>5</v>
      </c>
      <c r="G88">
        <v>69022332</v>
      </c>
      <c r="H88" t="s">
        <v>367</v>
      </c>
      <c r="I88" t="s">
        <v>407</v>
      </c>
      <c r="J88" t="s">
        <v>56</v>
      </c>
      <c r="K88">
        <v>10</v>
      </c>
      <c r="L88">
        <v>29</v>
      </c>
      <c r="M88">
        <v>2034</v>
      </c>
      <c r="N88" t="s">
        <v>47</v>
      </c>
      <c r="O88" s="5">
        <f>DATE(Tabela1[[#This Row],[vigencia ano]],Tabela1[[#This Row],[vigencia mês]],Tabela1[[#This Row],[vigencia dia]])</f>
        <v>49805</v>
      </c>
    </row>
    <row r="89" spans="1:15" x14ac:dyDescent="0.25">
      <c r="A89" t="s">
        <v>41</v>
      </c>
      <c r="B89" t="s">
        <v>408</v>
      </c>
      <c r="C89" s="1">
        <v>15564129000108</v>
      </c>
      <c r="D89" t="s">
        <v>409</v>
      </c>
      <c r="E89" t="s">
        <v>298</v>
      </c>
      <c r="F89" t="s">
        <v>5</v>
      </c>
      <c r="G89">
        <v>69028330</v>
      </c>
      <c r="H89" t="s">
        <v>410</v>
      </c>
      <c r="I89" t="s">
        <v>411</v>
      </c>
      <c r="J89" t="s">
        <v>56</v>
      </c>
      <c r="K89">
        <v>7</v>
      </c>
      <c r="L89">
        <v>30</v>
      </c>
      <c r="M89">
        <v>2035</v>
      </c>
      <c r="N89" t="s">
        <v>412</v>
      </c>
      <c r="O89" s="5">
        <f>DATE(Tabela1[[#This Row],[vigencia ano]],Tabela1[[#This Row],[vigencia mês]],Tabela1[[#This Row],[vigencia dia]])</f>
        <v>50198</v>
      </c>
    </row>
    <row r="90" spans="1:15" x14ac:dyDescent="0.25">
      <c r="A90" t="s">
        <v>41</v>
      </c>
      <c r="B90" t="s">
        <v>408</v>
      </c>
      <c r="C90" s="1">
        <v>15564129000108</v>
      </c>
      <c r="D90" t="s">
        <v>409</v>
      </c>
      <c r="E90" t="s">
        <v>298</v>
      </c>
      <c r="F90" t="s">
        <v>5</v>
      </c>
      <c r="G90">
        <v>69028330</v>
      </c>
      <c r="H90" t="s">
        <v>413</v>
      </c>
      <c r="I90" t="s">
        <v>411</v>
      </c>
      <c r="J90" t="s">
        <v>56</v>
      </c>
      <c r="K90">
        <v>7</v>
      </c>
      <c r="L90">
        <v>30</v>
      </c>
      <c r="M90">
        <v>2035</v>
      </c>
      <c r="N90" t="s">
        <v>412</v>
      </c>
      <c r="O90" s="5">
        <f>DATE(Tabela1[[#This Row],[vigencia ano]],Tabela1[[#This Row],[vigencia mês]],Tabela1[[#This Row],[vigencia dia]])</f>
        <v>50198</v>
      </c>
    </row>
    <row r="91" spans="1:15" x14ac:dyDescent="0.25">
      <c r="A91" t="s">
        <v>41</v>
      </c>
      <c r="B91" t="s">
        <v>414</v>
      </c>
      <c r="C91" s="1">
        <v>42725389000182</v>
      </c>
      <c r="D91" t="s">
        <v>415</v>
      </c>
      <c r="E91" t="s">
        <v>298</v>
      </c>
      <c r="F91" t="s">
        <v>5</v>
      </c>
      <c r="G91">
        <v>69075715</v>
      </c>
      <c r="H91" t="s">
        <v>367</v>
      </c>
      <c r="I91" t="s">
        <v>416</v>
      </c>
      <c r="J91" t="s">
        <v>56</v>
      </c>
      <c r="K91">
        <v>10</v>
      </c>
      <c r="L91">
        <v>28</v>
      </c>
      <c r="M91">
        <v>2031</v>
      </c>
      <c r="N91" t="s">
        <v>47</v>
      </c>
      <c r="O91" s="5">
        <f>DATE(Tabela1[[#This Row],[vigencia ano]],Tabela1[[#This Row],[vigencia mês]],Tabela1[[#This Row],[vigencia dia]])</f>
        <v>48679</v>
      </c>
    </row>
    <row r="92" spans="1:15" x14ac:dyDescent="0.25">
      <c r="A92" t="s">
        <v>41</v>
      </c>
      <c r="B92" t="s">
        <v>417</v>
      </c>
      <c r="C92" s="1">
        <v>34989647000100</v>
      </c>
      <c r="D92" t="s">
        <v>418</v>
      </c>
      <c r="E92" t="s">
        <v>298</v>
      </c>
      <c r="F92" t="s">
        <v>5</v>
      </c>
      <c r="G92">
        <v>69059140</v>
      </c>
      <c r="H92" t="s">
        <v>419</v>
      </c>
      <c r="I92" t="s">
        <v>420</v>
      </c>
      <c r="J92" t="s">
        <v>46</v>
      </c>
      <c r="K92">
        <v>10</v>
      </c>
      <c r="L92">
        <v>5</v>
      </c>
      <c r="M92">
        <v>2032</v>
      </c>
      <c r="N92" t="s">
        <v>47</v>
      </c>
      <c r="O92" s="5">
        <f>DATE(Tabela1[[#This Row],[vigencia ano]],Tabela1[[#This Row],[vigencia mês]],Tabela1[[#This Row],[vigencia dia]])</f>
        <v>48344</v>
      </c>
    </row>
    <row r="93" spans="1:15" x14ac:dyDescent="0.25">
      <c r="A93" t="s">
        <v>41</v>
      </c>
      <c r="B93" t="s">
        <v>421</v>
      </c>
      <c r="C93" s="1">
        <v>84488550000191</v>
      </c>
      <c r="D93" t="s">
        <v>422</v>
      </c>
      <c r="E93" t="s">
        <v>298</v>
      </c>
      <c r="F93" t="s">
        <v>5</v>
      </c>
      <c r="G93">
        <v>69074160</v>
      </c>
      <c r="H93" t="s">
        <v>423</v>
      </c>
      <c r="I93" t="s">
        <v>424</v>
      </c>
      <c r="J93" t="s">
        <v>56</v>
      </c>
      <c r="K93">
        <v>11</v>
      </c>
      <c r="L93">
        <v>19</v>
      </c>
      <c r="M93">
        <v>2018</v>
      </c>
      <c r="N93" t="s">
        <v>47</v>
      </c>
      <c r="O93" s="5">
        <f>DATE(Tabela1[[#This Row],[vigencia ano]],Tabela1[[#This Row],[vigencia mês]],Tabela1[[#This Row],[vigencia dia]])</f>
        <v>43657</v>
      </c>
    </row>
    <row r="94" spans="1:15" x14ac:dyDescent="0.25">
      <c r="A94" t="s">
        <v>41</v>
      </c>
      <c r="B94" t="s">
        <v>425</v>
      </c>
      <c r="C94" s="1">
        <v>9007471000104</v>
      </c>
      <c r="D94" t="s">
        <v>426</v>
      </c>
      <c r="E94" t="s">
        <v>298</v>
      </c>
      <c r="F94" t="s">
        <v>5</v>
      </c>
      <c r="G94">
        <v>69035350</v>
      </c>
      <c r="H94" t="s">
        <v>427</v>
      </c>
      <c r="I94" t="s">
        <v>428</v>
      </c>
      <c r="J94" t="s">
        <v>56</v>
      </c>
      <c r="K94">
        <v>12</v>
      </c>
      <c r="L94">
        <v>21</v>
      </c>
      <c r="M94">
        <v>2027</v>
      </c>
      <c r="N94" t="s">
        <v>47</v>
      </c>
      <c r="O94" s="5">
        <f>DATE(Tabela1[[#This Row],[vigencia ano]],Tabela1[[#This Row],[vigencia mês]],Tabela1[[#This Row],[vigencia dia]])</f>
        <v>47008</v>
      </c>
    </row>
    <row r="95" spans="1:15" x14ac:dyDescent="0.25">
      <c r="A95" t="s">
        <v>41</v>
      </c>
      <c r="B95" t="s">
        <v>429</v>
      </c>
      <c r="C95" s="1">
        <v>34516450000153</v>
      </c>
      <c r="D95" t="s">
        <v>430</v>
      </c>
      <c r="E95" t="s">
        <v>298</v>
      </c>
      <c r="F95" t="s">
        <v>5</v>
      </c>
      <c r="G95">
        <v>69040270</v>
      </c>
      <c r="H95" t="s">
        <v>431</v>
      </c>
      <c r="I95" t="s">
        <v>432</v>
      </c>
      <c r="J95" t="s">
        <v>56</v>
      </c>
      <c r="K95">
        <v>10</v>
      </c>
      <c r="L95">
        <v>17</v>
      </c>
      <c r="M95">
        <v>2028</v>
      </c>
      <c r="N95" t="s">
        <v>47</v>
      </c>
      <c r="O95" s="5">
        <f>DATE(Tabela1[[#This Row],[vigencia ano]],Tabela1[[#This Row],[vigencia mês]],Tabela1[[#This Row],[vigencia dia]])</f>
        <v>47248</v>
      </c>
    </row>
    <row r="96" spans="1:15" x14ac:dyDescent="0.25">
      <c r="A96" t="s">
        <v>41</v>
      </c>
      <c r="B96" t="s">
        <v>433</v>
      </c>
      <c r="C96" s="1">
        <v>8891893000114</v>
      </c>
      <c r="D96" t="s">
        <v>434</v>
      </c>
      <c r="E96" t="s">
        <v>298</v>
      </c>
      <c r="F96" t="s">
        <v>5</v>
      </c>
      <c r="G96">
        <v>69057025</v>
      </c>
      <c r="H96" t="s">
        <v>435</v>
      </c>
      <c r="I96" t="s">
        <v>436</v>
      </c>
      <c r="J96" t="s">
        <v>56</v>
      </c>
      <c r="K96">
        <v>10</v>
      </c>
      <c r="L96">
        <v>3</v>
      </c>
      <c r="M96">
        <v>2034</v>
      </c>
      <c r="N96" t="s">
        <v>47</v>
      </c>
      <c r="O96" s="5">
        <f>DATE(Tabela1[[#This Row],[vigencia ano]],Tabela1[[#This Row],[vigencia mês]],Tabela1[[#This Row],[vigencia dia]])</f>
        <v>49013</v>
      </c>
    </row>
    <row r="97" spans="1:15" x14ac:dyDescent="0.25">
      <c r="A97" t="s">
        <v>41</v>
      </c>
      <c r="B97" t="s">
        <v>437</v>
      </c>
      <c r="C97" s="1">
        <v>4330304000178</v>
      </c>
      <c r="D97" t="s">
        <v>438</v>
      </c>
      <c r="E97" t="s">
        <v>298</v>
      </c>
      <c r="F97" t="s">
        <v>5</v>
      </c>
      <c r="G97">
        <v>69050010</v>
      </c>
      <c r="H97" t="s">
        <v>439</v>
      </c>
      <c r="I97" t="s">
        <v>440</v>
      </c>
      <c r="J97" t="s">
        <v>56</v>
      </c>
      <c r="K97">
        <v>7</v>
      </c>
      <c r="L97">
        <v>9</v>
      </c>
      <c r="M97">
        <v>2025</v>
      </c>
      <c r="N97" t="s">
        <v>47</v>
      </c>
      <c r="O97" s="5">
        <f>DATE(Tabela1[[#This Row],[vigencia ano]],Tabela1[[#This Row],[vigencia mês]],Tabela1[[#This Row],[vigencia dia]])</f>
        <v>45907</v>
      </c>
    </row>
    <row r="98" spans="1:15" x14ac:dyDescent="0.25">
      <c r="A98" t="s">
        <v>41</v>
      </c>
      <c r="B98" t="s">
        <v>441</v>
      </c>
      <c r="C98" s="1">
        <v>6820212000100</v>
      </c>
      <c r="D98" t="s">
        <v>442</v>
      </c>
      <c r="E98" t="s">
        <v>298</v>
      </c>
      <c r="F98" t="s">
        <v>5</v>
      </c>
      <c r="G98">
        <v>69027031</v>
      </c>
      <c r="H98" t="s">
        <v>443</v>
      </c>
      <c r="I98" t="s">
        <v>444</v>
      </c>
      <c r="J98" t="s">
        <v>56</v>
      </c>
      <c r="K98">
        <v>2</v>
      </c>
      <c r="L98">
        <v>22</v>
      </c>
      <c r="M98">
        <v>2031</v>
      </c>
      <c r="N98" t="s">
        <v>47</v>
      </c>
      <c r="O98" s="5">
        <f>DATE(Tabela1[[#This Row],[vigencia ano]],Tabela1[[#This Row],[vigencia mês]],Tabela1[[#This Row],[vigencia dia]])</f>
        <v>48489</v>
      </c>
    </row>
    <row r="99" spans="1:15" x14ac:dyDescent="0.25">
      <c r="A99" t="s">
        <v>41</v>
      </c>
      <c r="B99" t="s">
        <v>445</v>
      </c>
      <c r="C99" s="1">
        <v>22299597000150</v>
      </c>
      <c r="D99" t="s">
        <v>446</v>
      </c>
      <c r="E99" t="s">
        <v>298</v>
      </c>
      <c r="F99" t="s">
        <v>5</v>
      </c>
      <c r="G99">
        <v>69057067</v>
      </c>
      <c r="H99" t="s">
        <v>447</v>
      </c>
      <c r="I99" t="s">
        <v>448</v>
      </c>
      <c r="J99" t="s">
        <v>46</v>
      </c>
      <c r="K99">
        <v>5</v>
      </c>
      <c r="L99">
        <v>18</v>
      </c>
      <c r="M99">
        <v>2032</v>
      </c>
      <c r="N99" t="s">
        <v>47</v>
      </c>
      <c r="O99" s="5">
        <f>DATE(Tabela1[[#This Row],[vigencia ano]],Tabela1[[#This Row],[vigencia mês]],Tabela1[[#This Row],[vigencia dia]])</f>
        <v>48735</v>
      </c>
    </row>
    <row r="100" spans="1:15" x14ac:dyDescent="0.25">
      <c r="A100" t="s">
        <v>41</v>
      </c>
      <c r="B100" t="s">
        <v>449</v>
      </c>
      <c r="C100" s="1">
        <v>51412204000170</v>
      </c>
      <c r="D100" t="s">
        <v>450</v>
      </c>
      <c r="E100" t="s">
        <v>298</v>
      </c>
      <c r="F100" t="s">
        <v>5</v>
      </c>
      <c r="G100">
        <v>69060707</v>
      </c>
      <c r="H100" t="s">
        <v>451</v>
      </c>
      <c r="I100" t="s">
        <v>452</v>
      </c>
      <c r="J100" t="s">
        <v>56</v>
      </c>
      <c r="K100">
        <v>9</v>
      </c>
      <c r="L100">
        <v>22</v>
      </c>
      <c r="M100">
        <v>2033</v>
      </c>
      <c r="N100" t="s">
        <v>47</v>
      </c>
      <c r="O100" s="5">
        <f>DATE(Tabela1[[#This Row],[vigencia ano]],Tabela1[[#This Row],[vigencia mês]],Tabela1[[#This Row],[vigencia dia]])</f>
        <v>49226</v>
      </c>
    </row>
    <row r="101" spans="1:15" x14ac:dyDescent="0.25">
      <c r="A101" t="s">
        <v>41</v>
      </c>
      <c r="B101" t="s">
        <v>453</v>
      </c>
      <c r="C101" s="1">
        <v>56119835000110</v>
      </c>
      <c r="D101" t="s">
        <v>454</v>
      </c>
      <c r="E101" t="s">
        <v>298</v>
      </c>
      <c r="F101" t="s">
        <v>5</v>
      </c>
      <c r="G101">
        <v>69059140</v>
      </c>
      <c r="H101" t="s">
        <v>455</v>
      </c>
      <c r="I101" t="s">
        <v>456</v>
      </c>
      <c r="J101" t="s">
        <v>56</v>
      </c>
      <c r="K101">
        <v>10</v>
      </c>
      <c r="L101">
        <v>7</v>
      </c>
      <c r="M101">
        <v>2034</v>
      </c>
      <c r="N101" t="s">
        <v>47</v>
      </c>
      <c r="O101" s="5">
        <f>DATE(Tabela1[[#This Row],[vigencia ano]],Tabela1[[#This Row],[vigencia mês]],Tabela1[[#This Row],[vigencia dia]])</f>
        <v>49135</v>
      </c>
    </row>
    <row r="102" spans="1:15" x14ac:dyDescent="0.25">
      <c r="A102" t="s">
        <v>41</v>
      </c>
      <c r="B102" t="s">
        <v>457</v>
      </c>
      <c r="C102" s="1">
        <v>1362266000147</v>
      </c>
      <c r="D102" t="s">
        <v>458</v>
      </c>
      <c r="E102" t="s">
        <v>298</v>
      </c>
      <c r="F102" t="s">
        <v>5</v>
      </c>
      <c r="G102">
        <v>69075709</v>
      </c>
      <c r="H102" t="s">
        <v>459</v>
      </c>
      <c r="I102" t="s">
        <v>460</v>
      </c>
      <c r="J102" t="s">
        <v>46</v>
      </c>
      <c r="K102">
        <v>7</v>
      </c>
      <c r="L102">
        <v>21</v>
      </c>
      <c r="M102">
        <v>2035</v>
      </c>
      <c r="N102" t="s">
        <v>461</v>
      </c>
      <c r="O102" s="5">
        <f>DATE(Tabela1[[#This Row],[vigencia ano]],Tabela1[[#This Row],[vigencia mês]],Tabela1[[#This Row],[vigencia dia]])</f>
        <v>49925</v>
      </c>
    </row>
    <row r="103" spans="1:15" x14ac:dyDescent="0.25">
      <c r="A103" t="s">
        <v>41</v>
      </c>
      <c r="B103" t="s">
        <v>462</v>
      </c>
      <c r="C103" s="1">
        <v>44657313000192</v>
      </c>
      <c r="D103" t="s">
        <v>463</v>
      </c>
      <c r="E103" t="s">
        <v>298</v>
      </c>
      <c r="F103" t="s">
        <v>5</v>
      </c>
      <c r="G103">
        <v>69075005</v>
      </c>
      <c r="H103" t="s">
        <v>464</v>
      </c>
      <c r="I103" t="s">
        <v>465</v>
      </c>
      <c r="J103" t="s">
        <v>56</v>
      </c>
      <c r="K103">
        <v>3</v>
      </c>
      <c r="L103">
        <v>30</v>
      </c>
      <c r="M103">
        <v>2032</v>
      </c>
      <c r="N103" t="s">
        <v>47</v>
      </c>
      <c r="O103" s="5">
        <f>DATE(Tabela1[[#This Row],[vigencia ano]],Tabela1[[#This Row],[vigencia mês]],Tabela1[[#This Row],[vigencia dia]])</f>
        <v>49098</v>
      </c>
    </row>
    <row r="104" spans="1:15" x14ac:dyDescent="0.25">
      <c r="A104" t="s">
        <v>41</v>
      </c>
      <c r="B104" t="s">
        <v>466</v>
      </c>
      <c r="C104" s="1">
        <v>1568020000126</v>
      </c>
      <c r="D104" t="s">
        <v>467</v>
      </c>
      <c r="E104" t="s">
        <v>298</v>
      </c>
      <c r="F104" t="s">
        <v>5</v>
      </c>
      <c r="G104">
        <v>69083000</v>
      </c>
      <c r="H104" t="s">
        <v>468</v>
      </c>
      <c r="I104" t="s">
        <v>469</v>
      </c>
      <c r="J104" t="s">
        <v>56</v>
      </c>
      <c r="K104">
        <v>4</v>
      </c>
      <c r="L104">
        <v>16</v>
      </c>
      <c r="M104">
        <v>2020</v>
      </c>
      <c r="N104" t="s">
        <v>47</v>
      </c>
      <c r="O104" s="5">
        <f>DATE(Tabela1[[#This Row],[vigencia ano]],Tabela1[[#This Row],[vigencia mês]],Tabela1[[#This Row],[vigencia dia]])</f>
        <v>44290</v>
      </c>
    </row>
    <row r="105" spans="1:15" x14ac:dyDescent="0.25">
      <c r="A105" t="s">
        <v>41</v>
      </c>
      <c r="B105" t="s">
        <v>470</v>
      </c>
      <c r="C105" s="1">
        <v>7244914000147</v>
      </c>
      <c r="D105" t="s">
        <v>471</v>
      </c>
      <c r="E105" t="s">
        <v>298</v>
      </c>
      <c r="F105" t="s">
        <v>5</v>
      </c>
      <c r="G105">
        <v>69015613</v>
      </c>
      <c r="H105" t="s">
        <v>472</v>
      </c>
      <c r="I105" t="s">
        <v>473</v>
      </c>
      <c r="J105" t="s">
        <v>56</v>
      </c>
      <c r="K105">
        <v>12</v>
      </c>
      <c r="L105">
        <v>9</v>
      </c>
      <c r="M105">
        <v>2034</v>
      </c>
      <c r="N105" t="s">
        <v>47</v>
      </c>
      <c r="O105" s="5">
        <f>DATE(Tabela1[[#This Row],[vigencia ano]],Tabela1[[#This Row],[vigencia mês]],Tabela1[[#This Row],[vigencia dia]])</f>
        <v>49199</v>
      </c>
    </row>
    <row r="106" spans="1:15" x14ac:dyDescent="0.25">
      <c r="A106" t="s">
        <v>41</v>
      </c>
      <c r="B106" t="s">
        <v>474</v>
      </c>
      <c r="C106" s="1">
        <v>4811052000107</v>
      </c>
      <c r="D106" t="s">
        <v>475</v>
      </c>
      <c r="E106" t="s">
        <v>298</v>
      </c>
      <c r="F106" t="s">
        <v>5</v>
      </c>
      <c r="G106">
        <v>69057250</v>
      </c>
      <c r="H106" t="s">
        <v>476</v>
      </c>
      <c r="I106" t="s">
        <v>477</v>
      </c>
      <c r="J106" t="s">
        <v>56</v>
      </c>
      <c r="K106">
        <v>8</v>
      </c>
      <c r="L106">
        <v>2</v>
      </c>
      <c r="M106">
        <v>2028</v>
      </c>
      <c r="N106" t="s">
        <v>47</v>
      </c>
      <c r="O106" s="5">
        <f>DATE(Tabela1[[#This Row],[vigencia ano]],Tabela1[[#This Row],[vigencia mês]],Tabela1[[#This Row],[vigencia dia]])</f>
        <v>46791</v>
      </c>
    </row>
    <row r="107" spans="1:15" x14ac:dyDescent="0.25">
      <c r="A107" t="s">
        <v>41</v>
      </c>
      <c r="B107" t="s">
        <v>478</v>
      </c>
      <c r="C107" s="1">
        <v>15809486000180</v>
      </c>
      <c r="D107" t="s">
        <v>479</v>
      </c>
      <c r="E107" t="s">
        <v>298</v>
      </c>
      <c r="F107" t="s">
        <v>5</v>
      </c>
      <c r="G107">
        <v>69023165</v>
      </c>
      <c r="H107" t="s">
        <v>480</v>
      </c>
      <c r="I107" t="s">
        <v>481</v>
      </c>
      <c r="J107" t="s">
        <v>46</v>
      </c>
      <c r="K107">
        <v>7</v>
      </c>
      <c r="L107">
        <v>4</v>
      </c>
      <c r="M107">
        <v>2027</v>
      </c>
      <c r="N107" t="s">
        <v>47</v>
      </c>
      <c r="O107" s="5">
        <f>DATE(Tabela1[[#This Row],[vigencia ano]],Tabela1[[#This Row],[vigencia mês]],Tabela1[[#This Row],[vigencia dia]])</f>
        <v>46484</v>
      </c>
    </row>
    <row r="108" spans="1:15" x14ac:dyDescent="0.25">
      <c r="A108" t="s">
        <v>41</v>
      </c>
      <c r="B108" t="s">
        <v>482</v>
      </c>
      <c r="C108" s="1">
        <v>23036429000134</v>
      </c>
      <c r="D108" t="s">
        <v>483</v>
      </c>
      <c r="E108" t="s">
        <v>298</v>
      </c>
      <c r="F108" t="s">
        <v>5</v>
      </c>
      <c r="G108">
        <v>69022332</v>
      </c>
      <c r="H108" t="s">
        <v>484</v>
      </c>
      <c r="I108" t="s">
        <v>485</v>
      </c>
      <c r="J108" t="s">
        <v>46</v>
      </c>
      <c r="K108">
        <v>10</v>
      </c>
      <c r="L108">
        <v>20</v>
      </c>
      <c r="M108">
        <v>2032</v>
      </c>
      <c r="N108" t="s">
        <v>47</v>
      </c>
      <c r="O108" s="5">
        <f>DATE(Tabela1[[#This Row],[vigencia ano]],Tabela1[[#This Row],[vigencia mês]],Tabela1[[#This Row],[vigencia dia]])</f>
        <v>48801</v>
      </c>
    </row>
    <row r="109" spans="1:15" x14ac:dyDescent="0.25">
      <c r="A109" t="s">
        <v>41</v>
      </c>
      <c r="B109" t="s">
        <v>486</v>
      </c>
      <c r="C109" s="1">
        <v>31145051000135</v>
      </c>
      <c r="D109" t="s">
        <v>487</v>
      </c>
      <c r="E109" t="s">
        <v>298</v>
      </c>
      <c r="F109" t="s">
        <v>5</v>
      </c>
      <c r="G109">
        <v>69007004</v>
      </c>
      <c r="H109" t="s">
        <v>488</v>
      </c>
      <c r="I109" t="s">
        <v>489</v>
      </c>
      <c r="J109" t="s">
        <v>56</v>
      </c>
      <c r="K109">
        <v>1</v>
      </c>
      <c r="L109">
        <v>18</v>
      </c>
      <c r="M109">
        <v>2029</v>
      </c>
      <c r="N109" t="s">
        <v>47</v>
      </c>
      <c r="O109" s="5">
        <f>DATE(Tabela1[[#This Row],[vigencia ano]],Tabela1[[#This Row],[vigencia mês]],Tabela1[[#This Row],[vigencia dia]])</f>
        <v>47635</v>
      </c>
    </row>
    <row r="110" spans="1:15" x14ac:dyDescent="0.25">
      <c r="A110" t="s">
        <v>41</v>
      </c>
      <c r="B110" t="s">
        <v>486</v>
      </c>
      <c r="C110" s="1">
        <v>31145051000135</v>
      </c>
      <c r="D110" t="s">
        <v>487</v>
      </c>
      <c r="E110" t="s">
        <v>298</v>
      </c>
      <c r="F110" t="s">
        <v>5</v>
      </c>
      <c r="G110">
        <v>69007004</v>
      </c>
      <c r="H110" t="s">
        <v>490</v>
      </c>
      <c r="I110" t="s">
        <v>489</v>
      </c>
      <c r="J110" t="s">
        <v>56</v>
      </c>
      <c r="K110">
        <v>1</v>
      </c>
      <c r="L110">
        <v>18</v>
      </c>
      <c r="M110">
        <v>2029</v>
      </c>
      <c r="N110" t="s">
        <v>47</v>
      </c>
      <c r="O110" s="5">
        <f>DATE(Tabela1[[#This Row],[vigencia ano]],Tabela1[[#This Row],[vigencia mês]],Tabela1[[#This Row],[vigencia dia]])</f>
        <v>47635</v>
      </c>
    </row>
    <row r="111" spans="1:15" x14ac:dyDescent="0.25">
      <c r="A111" t="s">
        <v>41</v>
      </c>
      <c r="B111" t="s">
        <v>491</v>
      </c>
      <c r="C111" s="1">
        <v>26915771000100</v>
      </c>
      <c r="D111" t="s">
        <v>492</v>
      </c>
      <c r="E111" t="s">
        <v>298</v>
      </c>
      <c r="F111" t="s">
        <v>5</v>
      </c>
      <c r="G111">
        <v>69047000</v>
      </c>
      <c r="H111" t="s">
        <v>367</v>
      </c>
      <c r="I111" t="s">
        <v>493</v>
      </c>
      <c r="J111" t="s">
        <v>56</v>
      </c>
      <c r="K111">
        <v>7</v>
      </c>
      <c r="L111">
        <v>12</v>
      </c>
      <c r="M111">
        <v>2034</v>
      </c>
      <c r="N111" t="s">
        <v>47</v>
      </c>
      <c r="O111" s="5">
        <f>DATE(Tabela1[[#This Row],[vigencia ano]],Tabela1[[#This Row],[vigencia mês]],Tabela1[[#This Row],[vigencia dia]])</f>
        <v>49285</v>
      </c>
    </row>
    <row r="112" spans="1:15" x14ac:dyDescent="0.25">
      <c r="A112" t="s">
        <v>41</v>
      </c>
      <c r="B112" t="s">
        <v>494</v>
      </c>
      <c r="C112" s="1">
        <v>4819181000133</v>
      </c>
      <c r="D112" t="s">
        <v>495</v>
      </c>
      <c r="E112" t="s">
        <v>298</v>
      </c>
      <c r="F112" t="s">
        <v>5</v>
      </c>
      <c r="G112">
        <v>69040000</v>
      </c>
      <c r="H112" t="s">
        <v>496</v>
      </c>
      <c r="I112" t="s">
        <v>497</v>
      </c>
      <c r="J112" t="s">
        <v>56</v>
      </c>
      <c r="K112">
        <v>10</v>
      </c>
      <c r="L112">
        <v>8</v>
      </c>
      <c r="M112">
        <v>2031</v>
      </c>
      <c r="N112" t="s">
        <v>47</v>
      </c>
      <c r="O112" s="5">
        <f>DATE(Tabela1[[#This Row],[vigencia ano]],Tabela1[[#This Row],[vigencia mês]],Tabela1[[#This Row],[vigencia dia]])</f>
        <v>48070</v>
      </c>
    </row>
    <row r="113" spans="1:15" x14ac:dyDescent="0.25">
      <c r="A113" t="s">
        <v>41</v>
      </c>
      <c r="B113" t="s">
        <v>498</v>
      </c>
      <c r="C113" s="1">
        <v>36779318000160</v>
      </c>
      <c r="D113" t="s">
        <v>499</v>
      </c>
      <c r="E113" t="s">
        <v>298</v>
      </c>
      <c r="F113" t="s">
        <v>5</v>
      </c>
      <c r="G113">
        <v>69048010</v>
      </c>
      <c r="H113" t="s">
        <v>500</v>
      </c>
      <c r="I113" t="s">
        <v>501</v>
      </c>
      <c r="J113" t="s">
        <v>56</v>
      </c>
      <c r="K113">
        <v>8</v>
      </c>
      <c r="L113">
        <v>20</v>
      </c>
      <c r="M113">
        <v>2031</v>
      </c>
      <c r="N113" t="s">
        <v>47</v>
      </c>
      <c r="O113" s="5">
        <f>DATE(Tabela1[[#This Row],[vigencia ano]],Tabela1[[#This Row],[vigencia mês]],Tabela1[[#This Row],[vigencia dia]])</f>
        <v>48434</v>
      </c>
    </row>
    <row r="114" spans="1:15" x14ac:dyDescent="0.25">
      <c r="A114" t="s">
        <v>41</v>
      </c>
      <c r="B114" t="s">
        <v>502</v>
      </c>
      <c r="C114" s="1">
        <v>25097573000106</v>
      </c>
      <c r="D114" t="s">
        <v>503</v>
      </c>
      <c r="E114" t="s">
        <v>298</v>
      </c>
      <c r="F114" t="s">
        <v>5</v>
      </c>
      <c r="G114">
        <v>69036420</v>
      </c>
      <c r="H114" t="s">
        <v>504</v>
      </c>
      <c r="I114" t="s">
        <v>505</v>
      </c>
      <c r="J114" t="s">
        <v>56</v>
      </c>
      <c r="K114">
        <v>7</v>
      </c>
      <c r="L114">
        <v>5</v>
      </c>
      <c r="M114">
        <v>2027</v>
      </c>
      <c r="N114" t="s">
        <v>47</v>
      </c>
      <c r="O114" s="5">
        <f>DATE(Tabela1[[#This Row],[vigencia ano]],Tabela1[[#This Row],[vigencia mês]],Tabela1[[#This Row],[vigencia dia]])</f>
        <v>46514</v>
      </c>
    </row>
    <row r="115" spans="1:15" x14ac:dyDescent="0.25">
      <c r="A115" t="s">
        <v>41</v>
      </c>
      <c r="B115" t="s">
        <v>506</v>
      </c>
      <c r="C115" s="1">
        <v>3642171000102</v>
      </c>
      <c r="D115" t="s">
        <v>507</v>
      </c>
      <c r="E115" t="s">
        <v>298</v>
      </c>
      <c r="F115" t="s">
        <v>5</v>
      </c>
      <c r="G115">
        <v>69009000</v>
      </c>
      <c r="H115" t="s">
        <v>508</v>
      </c>
      <c r="I115" t="s">
        <v>509</v>
      </c>
      <c r="J115" t="s">
        <v>56</v>
      </c>
      <c r="K115">
        <v>6</v>
      </c>
      <c r="L115">
        <v>28</v>
      </c>
      <c r="M115">
        <v>2033</v>
      </c>
      <c r="N115" t="s">
        <v>47</v>
      </c>
      <c r="O115" s="5">
        <f>DATE(Tabela1[[#This Row],[vigencia ano]],Tabela1[[#This Row],[vigencia mês]],Tabela1[[#This Row],[vigencia dia]])</f>
        <v>49405</v>
      </c>
    </row>
    <row r="116" spans="1:15" x14ac:dyDescent="0.25">
      <c r="A116" t="s">
        <v>41</v>
      </c>
      <c r="B116" t="s">
        <v>510</v>
      </c>
      <c r="C116" s="1">
        <v>15425851000153</v>
      </c>
      <c r="D116" t="s">
        <v>511</v>
      </c>
      <c r="E116" t="s">
        <v>298</v>
      </c>
      <c r="F116" t="s">
        <v>5</v>
      </c>
      <c r="G116">
        <v>69022123</v>
      </c>
      <c r="H116" t="s">
        <v>512</v>
      </c>
      <c r="I116" t="s">
        <v>513</v>
      </c>
      <c r="J116" t="s">
        <v>56</v>
      </c>
      <c r="K116">
        <v>8</v>
      </c>
      <c r="L116">
        <v>31</v>
      </c>
      <c r="M116">
        <v>2033</v>
      </c>
      <c r="N116" t="s">
        <v>47</v>
      </c>
      <c r="O116" s="5">
        <f>DATE(Tabela1[[#This Row],[vigencia ano]],Tabela1[[#This Row],[vigencia mês]],Tabela1[[#This Row],[vigencia dia]])</f>
        <v>49498</v>
      </c>
    </row>
    <row r="117" spans="1:15" x14ac:dyDescent="0.25">
      <c r="A117" t="s">
        <v>41</v>
      </c>
      <c r="B117" t="s">
        <v>514</v>
      </c>
      <c r="C117" s="1">
        <v>12726019000107</v>
      </c>
      <c r="D117" t="s">
        <v>515</v>
      </c>
      <c r="E117" t="s">
        <v>298</v>
      </c>
      <c r="F117" t="s">
        <v>5</v>
      </c>
      <c r="G117">
        <v>69058581</v>
      </c>
      <c r="H117" t="s">
        <v>516</v>
      </c>
      <c r="I117" t="s">
        <v>517</v>
      </c>
      <c r="J117" t="s">
        <v>56</v>
      </c>
      <c r="K117">
        <v>9</v>
      </c>
      <c r="L117">
        <v>9</v>
      </c>
      <c r="M117">
        <v>2025</v>
      </c>
      <c r="N117" t="s">
        <v>47</v>
      </c>
      <c r="O117" s="5">
        <f>DATE(Tabela1[[#This Row],[vigencia ano]],Tabela1[[#This Row],[vigencia mês]],Tabela1[[#This Row],[vigencia dia]])</f>
        <v>45909</v>
      </c>
    </row>
    <row r="118" spans="1:15" x14ac:dyDescent="0.25">
      <c r="A118" t="s">
        <v>41</v>
      </c>
      <c r="B118" t="s">
        <v>518</v>
      </c>
      <c r="C118" s="1">
        <v>5089941000167</v>
      </c>
      <c r="D118" t="s">
        <v>519</v>
      </c>
      <c r="E118" t="s">
        <v>298</v>
      </c>
      <c r="F118" t="s">
        <v>5</v>
      </c>
      <c r="G118">
        <v>69008445</v>
      </c>
      <c r="H118" t="s">
        <v>520</v>
      </c>
      <c r="I118" t="s">
        <v>521</v>
      </c>
      <c r="J118" t="s">
        <v>46</v>
      </c>
      <c r="K118">
        <v>8</v>
      </c>
      <c r="L118">
        <v>30</v>
      </c>
      <c r="M118">
        <v>2022</v>
      </c>
      <c r="N118" t="s">
        <v>47</v>
      </c>
      <c r="O118" s="5">
        <f>DATE(Tabela1[[#This Row],[vigencia ano]],Tabela1[[#This Row],[vigencia mês]],Tabela1[[#This Row],[vigencia dia]])</f>
        <v>45451</v>
      </c>
    </row>
    <row r="119" spans="1:15" x14ac:dyDescent="0.25">
      <c r="A119" t="s">
        <v>41</v>
      </c>
      <c r="B119" t="s">
        <v>522</v>
      </c>
      <c r="C119" s="1">
        <v>1747038000195</v>
      </c>
      <c r="D119" t="s">
        <v>523</v>
      </c>
      <c r="E119" t="s">
        <v>298</v>
      </c>
      <c r="F119" t="s">
        <v>5</v>
      </c>
      <c r="G119">
        <v>69009000</v>
      </c>
      <c r="H119" t="s">
        <v>524</v>
      </c>
      <c r="I119" t="s">
        <v>525</v>
      </c>
      <c r="J119" t="s">
        <v>46</v>
      </c>
      <c r="K119">
        <v>5</v>
      </c>
      <c r="L119">
        <v>5</v>
      </c>
      <c r="M119">
        <v>2032</v>
      </c>
      <c r="N119" t="s">
        <v>47</v>
      </c>
      <c r="O119" s="5">
        <f>DATE(Tabela1[[#This Row],[vigencia ano]],Tabela1[[#This Row],[vigencia mês]],Tabela1[[#This Row],[vigencia dia]])</f>
        <v>48339</v>
      </c>
    </row>
    <row r="120" spans="1:15" x14ac:dyDescent="0.25">
      <c r="A120" t="s">
        <v>41</v>
      </c>
      <c r="B120" t="s">
        <v>526</v>
      </c>
      <c r="C120" s="1">
        <v>10526719000114</v>
      </c>
      <c r="D120" t="s">
        <v>527</v>
      </c>
      <c r="E120" t="s">
        <v>298</v>
      </c>
      <c r="F120" t="s">
        <v>5</v>
      </c>
      <c r="G120">
        <v>69009000</v>
      </c>
      <c r="H120" t="s">
        <v>528</v>
      </c>
      <c r="I120" t="s">
        <v>529</v>
      </c>
      <c r="J120" t="s">
        <v>46</v>
      </c>
      <c r="K120">
        <v>1</v>
      </c>
      <c r="L120">
        <v>21</v>
      </c>
      <c r="M120">
        <v>2029</v>
      </c>
      <c r="N120" t="s">
        <v>47</v>
      </c>
      <c r="O120" s="5">
        <f>DATE(Tabela1[[#This Row],[vigencia ano]],Tabela1[[#This Row],[vigencia mês]],Tabela1[[#This Row],[vigencia dia]])</f>
        <v>47727</v>
      </c>
    </row>
    <row r="121" spans="1:15" x14ac:dyDescent="0.25">
      <c r="A121" t="s">
        <v>41</v>
      </c>
      <c r="B121" t="s">
        <v>530</v>
      </c>
      <c r="C121" s="1">
        <v>13426271000155</v>
      </c>
      <c r="D121" t="s">
        <v>531</v>
      </c>
      <c r="E121" t="s">
        <v>298</v>
      </c>
      <c r="F121" t="s">
        <v>5</v>
      </c>
      <c r="G121">
        <v>69058260</v>
      </c>
      <c r="H121" t="s">
        <v>532</v>
      </c>
      <c r="I121" t="s">
        <v>533</v>
      </c>
      <c r="J121" t="s">
        <v>56</v>
      </c>
      <c r="K121">
        <v>8</v>
      </c>
      <c r="L121">
        <v>5</v>
      </c>
      <c r="M121">
        <v>2032</v>
      </c>
      <c r="N121" t="s">
        <v>47</v>
      </c>
      <c r="O121" s="5">
        <f>DATE(Tabela1[[#This Row],[vigencia ano]],Tabela1[[#This Row],[vigencia mês]],Tabela1[[#This Row],[vigencia dia]])</f>
        <v>48342</v>
      </c>
    </row>
    <row r="122" spans="1:15" x14ac:dyDescent="0.25">
      <c r="A122" t="s">
        <v>41</v>
      </c>
      <c r="B122" t="s">
        <v>534</v>
      </c>
      <c r="C122" s="1">
        <v>4866319000155</v>
      </c>
      <c r="D122" t="s">
        <v>535</v>
      </c>
      <c r="E122" t="s">
        <v>298</v>
      </c>
      <c r="F122" t="s">
        <v>5</v>
      </c>
      <c r="G122">
        <v>69095160</v>
      </c>
      <c r="H122" t="s">
        <v>536</v>
      </c>
      <c r="I122" t="s">
        <v>537</v>
      </c>
      <c r="J122" t="s">
        <v>56</v>
      </c>
      <c r="K122">
        <v>5</v>
      </c>
      <c r="L122">
        <v>24</v>
      </c>
      <c r="M122">
        <v>2032</v>
      </c>
      <c r="N122" t="s">
        <v>47</v>
      </c>
      <c r="O122" s="5">
        <f>DATE(Tabela1[[#This Row],[vigencia ano]],Tabela1[[#This Row],[vigencia mês]],Tabela1[[#This Row],[vigencia dia]])</f>
        <v>48918</v>
      </c>
    </row>
    <row r="123" spans="1:15" x14ac:dyDescent="0.25">
      <c r="A123" t="s">
        <v>41</v>
      </c>
      <c r="B123" t="s">
        <v>538</v>
      </c>
      <c r="C123" s="1">
        <v>26002003000158</v>
      </c>
      <c r="D123" t="s">
        <v>539</v>
      </c>
      <c r="E123" t="s">
        <v>298</v>
      </c>
      <c r="F123" t="s">
        <v>5</v>
      </c>
      <c r="G123">
        <v>69042360</v>
      </c>
      <c r="H123" t="s">
        <v>540</v>
      </c>
      <c r="I123" t="s">
        <v>541</v>
      </c>
      <c r="J123" t="s">
        <v>56</v>
      </c>
      <c r="K123">
        <v>10</v>
      </c>
      <c r="L123">
        <v>19</v>
      </c>
      <c r="M123">
        <v>2026</v>
      </c>
      <c r="N123" t="s">
        <v>47</v>
      </c>
      <c r="O123" s="5">
        <f>DATE(Tabela1[[#This Row],[vigencia ano]],Tabela1[[#This Row],[vigencia mês]],Tabela1[[#This Row],[vigencia dia]])</f>
        <v>46578</v>
      </c>
    </row>
    <row r="124" spans="1:15" x14ac:dyDescent="0.25">
      <c r="A124" t="s">
        <v>41</v>
      </c>
      <c r="B124" t="s">
        <v>542</v>
      </c>
      <c r="C124" s="1">
        <v>7866382000180</v>
      </c>
      <c r="D124" t="s">
        <v>543</v>
      </c>
      <c r="E124" t="s">
        <v>298</v>
      </c>
      <c r="F124" t="s">
        <v>5</v>
      </c>
      <c r="G124">
        <v>69036520</v>
      </c>
      <c r="H124" t="s">
        <v>544</v>
      </c>
      <c r="I124" t="s">
        <v>545</v>
      </c>
      <c r="J124" t="s">
        <v>56</v>
      </c>
      <c r="K124">
        <v>3</v>
      </c>
      <c r="L124">
        <v>15</v>
      </c>
      <c r="M124">
        <v>2034</v>
      </c>
      <c r="N124" t="s">
        <v>47</v>
      </c>
      <c r="O124" s="5">
        <f>DATE(Tabela1[[#This Row],[vigencia ano]],Tabela1[[#This Row],[vigencia mês]],Tabela1[[#This Row],[vigencia dia]])</f>
        <v>49371</v>
      </c>
    </row>
    <row r="125" spans="1:15" x14ac:dyDescent="0.25">
      <c r="A125" t="s">
        <v>41</v>
      </c>
      <c r="B125" t="s">
        <v>546</v>
      </c>
      <c r="C125" s="1">
        <v>43713271000105</v>
      </c>
      <c r="D125" t="s">
        <v>547</v>
      </c>
      <c r="E125" t="s">
        <v>298</v>
      </c>
      <c r="F125" t="s">
        <v>5</v>
      </c>
      <c r="G125">
        <v>69098353</v>
      </c>
      <c r="H125" t="s">
        <v>548</v>
      </c>
      <c r="I125" t="s">
        <v>549</v>
      </c>
      <c r="J125" t="s">
        <v>56</v>
      </c>
      <c r="K125">
        <v>10</v>
      </c>
      <c r="L125">
        <v>30</v>
      </c>
      <c r="M125">
        <v>2034</v>
      </c>
      <c r="N125" t="s">
        <v>47</v>
      </c>
      <c r="O125" s="5">
        <f>DATE(Tabela1[[#This Row],[vigencia ano]],Tabela1[[#This Row],[vigencia mês]],Tabela1[[#This Row],[vigencia dia]])</f>
        <v>49836</v>
      </c>
    </row>
    <row r="126" spans="1:15" x14ac:dyDescent="0.25">
      <c r="A126" t="s">
        <v>41</v>
      </c>
      <c r="B126" t="s">
        <v>550</v>
      </c>
      <c r="C126" s="1">
        <v>84462290000185</v>
      </c>
      <c r="D126" t="s">
        <v>551</v>
      </c>
      <c r="E126" t="s">
        <v>298</v>
      </c>
      <c r="F126" t="s">
        <v>5</v>
      </c>
      <c r="G126">
        <v>69095500</v>
      </c>
      <c r="H126" t="s">
        <v>552</v>
      </c>
      <c r="I126" t="s">
        <v>553</v>
      </c>
      <c r="J126" t="s">
        <v>56</v>
      </c>
      <c r="K126">
        <v>1</v>
      </c>
      <c r="L126">
        <v>22</v>
      </c>
      <c r="M126">
        <v>2026</v>
      </c>
      <c r="N126" t="s">
        <v>47</v>
      </c>
      <c r="O126" s="5">
        <f>DATE(Tabela1[[#This Row],[vigencia ano]],Tabela1[[#This Row],[vigencia mês]],Tabela1[[#This Row],[vigencia dia]])</f>
        <v>46661</v>
      </c>
    </row>
    <row r="127" spans="1:15" x14ac:dyDescent="0.25">
      <c r="A127" t="s">
        <v>41</v>
      </c>
      <c r="B127" t="s">
        <v>554</v>
      </c>
      <c r="C127" s="1">
        <v>2236769000139</v>
      </c>
      <c r="D127" t="s">
        <v>555</v>
      </c>
      <c r="E127" t="s">
        <v>298</v>
      </c>
      <c r="F127" t="s">
        <v>5</v>
      </c>
      <c r="G127">
        <v>69082230</v>
      </c>
      <c r="H127" t="s">
        <v>556</v>
      </c>
      <c r="I127" t="s">
        <v>557</v>
      </c>
      <c r="J127" t="s">
        <v>56</v>
      </c>
      <c r="K127">
        <v>9</v>
      </c>
      <c r="L127">
        <v>5</v>
      </c>
      <c r="M127">
        <v>2022</v>
      </c>
      <c r="N127" t="s">
        <v>47</v>
      </c>
      <c r="O127" s="5">
        <f>DATE(Tabela1[[#This Row],[vigencia ano]],Tabela1[[#This Row],[vigencia mês]],Tabela1[[#This Row],[vigencia dia]])</f>
        <v>44690</v>
      </c>
    </row>
    <row r="128" spans="1:15" x14ac:dyDescent="0.25">
      <c r="A128" t="s">
        <v>41</v>
      </c>
      <c r="B128" t="s">
        <v>558</v>
      </c>
      <c r="C128" s="1">
        <v>46474636000176</v>
      </c>
      <c r="D128" t="s">
        <v>559</v>
      </c>
      <c r="E128" t="s">
        <v>298</v>
      </c>
      <c r="F128" t="s">
        <v>5</v>
      </c>
      <c r="G128">
        <v>69048020</v>
      </c>
      <c r="H128" t="s">
        <v>560</v>
      </c>
      <c r="I128" t="s">
        <v>561</v>
      </c>
      <c r="J128" t="s">
        <v>56</v>
      </c>
      <c r="K128">
        <v>9</v>
      </c>
      <c r="L128">
        <v>29</v>
      </c>
      <c r="M128">
        <v>2032</v>
      </c>
      <c r="N128" t="s">
        <v>47</v>
      </c>
      <c r="O128" s="5">
        <f>DATE(Tabela1[[#This Row],[vigencia ano]],Tabela1[[#This Row],[vigencia mês]],Tabela1[[#This Row],[vigencia dia]])</f>
        <v>49073</v>
      </c>
    </row>
    <row r="129" spans="1:15" x14ac:dyDescent="0.25">
      <c r="A129" t="s">
        <v>41</v>
      </c>
      <c r="B129" t="s">
        <v>562</v>
      </c>
      <c r="C129" s="1">
        <v>10224658000130</v>
      </c>
      <c r="D129" t="s">
        <v>563</v>
      </c>
      <c r="E129" t="s">
        <v>298</v>
      </c>
      <c r="F129" t="s">
        <v>5</v>
      </c>
      <c r="G129">
        <v>69020245</v>
      </c>
      <c r="H129" t="s">
        <v>564</v>
      </c>
      <c r="I129" t="s">
        <v>565</v>
      </c>
      <c r="J129" t="s">
        <v>56</v>
      </c>
      <c r="K129">
        <v>8</v>
      </c>
      <c r="L129">
        <v>11</v>
      </c>
      <c r="M129">
        <v>2031</v>
      </c>
      <c r="N129" t="s">
        <v>47</v>
      </c>
      <c r="O129" s="5">
        <f>DATE(Tabela1[[#This Row],[vigencia ano]],Tabela1[[#This Row],[vigencia mês]],Tabela1[[#This Row],[vigencia dia]])</f>
        <v>48160</v>
      </c>
    </row>
    <row r="130" spans="1:15" x14ac:dyDescent="0.25">
      <c r="A130" t="s">
        <v>41</v>
      </c>
      <c r="B130" t="s">
        <v>566</v>
      </c>
      <c r="C130" s="1">
        <v>17119598000135</v>
      </c>
      <c r="D130" t="s">
        <v>567</v>
      </c>
      <c r="E130" t="s">
        <v>298</v>
      </c>
      <c r="F130" t="s">
        <v>5</v>
      </c>
      <c r="G130">
        <v>69082230</v>
      </c>
      <c r="H130" t="s">
        <v>568</v>
      </c>
      <c r="I130" t="s">
        <v>569</v>
      </c>
      <c r="J130" t="s">
        <v>56</v>
      </c>
      <c r="K130">
        <v>9</v>
      </c>
      <c r="L130">
        <v>19</v>
      </c>
      <c r="M130">
        <v>2034</v>
      </c>
      <c r="N130" t="s">
        <v>47</v>
      </c>
      <c r="O130" s="5">
        <f>DATE(Tabela1[[#This Row],[vigencia ano]],Tabela1[[#This Row],[vigencia mês]],Tabela1[[#This Row],[vigencia dia]])</f>
        <v>49499</v>
      </c>
    </row>
    <row r="131" spans="1:15" x14ac:dyDescent="0.25">
      <c r="A131" t="s">
        <v>41</v>
      </c>
      <c r="B131" t="s">
        <v>570</v>
      </c>
      <c r="C131" s="1">
        <v>22797070000155</v>
      </c>
      <c r="D131" t="s">
        <v>571</v>
      </c>
      <c r="E131" t="s">
        <v>298</v>
      </c>
      <c r="F131" t="s">
        <v>5</v>
      </c>
      <c r="G131">
        <v>69070625</v>
      </c>
      <c r="H131" t="s">
        <v>572</v>
      </c>
      <c r="I131" t="s">
        <v>573</v>
      </c>
      <c r="J131" t="s">
        <v>46</v>
      </c>
      <c r="K131">
        <v>5</v>
      </c>
      <c r="L131">
        <v>10</v>
      </c>
      <c r="M131">
        <v>2022</v>
      </c>
      <c r="N131" t="s">
        <v>47</v>
      </c>
      <c r="O131" s="5">
        <f>DATE(Tabela1[[#This Row],[vigencia ano]],Tabela1[[#This Row],[vigencia mês]],Tabela1[[#This Row],[vigencia dia]])</f>
        <v>44839</v>
      </c>
    </row>
    <row r="132" spans="1:15" x14ac:dyDescent="0.25">
      <c r="A132" t="s">
        <v>41</v>
      </c>
      <c r="B132" t="s">
        <v>574</v>
      </c>
      <c r="C132" s="1">
        <v>5501594000138</v>
      </c>
      <c r="D132" t="s">
        <v>575</v>
      </c>
      <c r="E132" t="s">
        <v>298</v>
      </c>
      <c r="F132" t="s">
        <v>5</v>
      </c>
      <c r="G132">
        <v>69074190</v>
      </c>
      <c r="H132" t="s">
        <v>576</v>
      </c>
      <c r="I132" t="s">
        <v>577</v>
      </c>
      <c r="J132" t="s">
        <v>56</v>
      </c>
      <c r="K132">
        <v>5</v>
      </c>
      <c r="L132">
        <v>10</v>
      </c>
      <c r="M132">
        <v>2026</v>
      </c>
      <c r="N132" t="s">
        <v>47</v>
      </c>
      <c r="O132" s="5">
        <f>DATE(Tabela1[[#This Row],[vigencia ano]],Tabela1[[#This Row],[vigencia mês]],Tabela1[[#This Row],[vigencia dia]])</f>
        <v>46300</v>
      </c>
    </row>
    <row r="133" spans="1:15" x14ac:dyDescent="0.25">
      <c r="A133" t="s">
        <v>41</v>
      </c>
      <c r="B133" t="s">
        <v>578</v>
      </c>
      <c r="C133" s="1">
        <v>14160269000140</v>
      </c>
      <c r="D133" t="s">
        <v>579</v>
      </c>
      <c r="E133" t="s">
        <v>298</v>
      </c>
      <c r="F133" t="s">
        <v>5</v>
      </c>
      <c r="G133">
        <v>69008445</v>
      </c>
      <c r="H133" t="s">
        <v>580</v>
      </c>
      <c r="I133" t="s">
        <v>581</v>
      </c>
      <c r="J133" t="s">
        <v>46</v>
      </c>
      <c r="K133">
        <v>4</v>
      </c>
      <c r="L133">
        <v>26</v>
      </c>
      <c r="M133">
        <v>2031</v>
      </c>
      <c r="N133" t="s">
        <v>47</v>
      </c>
      <c r="O133" s="5">
        <f>DATE(Tabela1[[#This Row],[vigencia ano]],Tabela1[[#This Row],[vigencia mês]],Tabela1[[#This Row],[vigencia dia]])</f>
        <v>48614</v>
      </c>
    </row>
    <row r="134" spans="1:15" x14ac:dyDescent="0.25">
      <c r="A134" t="s">
        <v>41</v>
      </c>
      <c r="B134" t="s">
        <v>582</v>
      </c>
      <c r="C134" s="1">
        <v>8208384000144</v>
      </c>
      <c r="D134" t="s">
        <v>583</v>
      </c>
      <c r="E134" t="s">
        <v>298</v>
      </c>
      <c r="F134" t="s">
        <v>5</v>
      </c>
      <c r="G134">
        <v>69045080</v>
      </c>
      <c r="H134" t="s">
        <v>584</v>
      </c>
      <c r="I134" t="s">
        <v>585</v>
      </c>
      <c r="J134" t="s">
        <v>56</v>
      </c>
      <c r="K134">
        <v>1</v>
      </c>
      <c r="L134">
        <v>23</v>
      </c>
      <c r="M134">
        <v>2027</v>
      </c>
      <c r="N134" t="s">
        <v>47</v>
      </c>
      <c r="O134" s="5">
        <f>DATE(Tabela1[[#This Row],[vigencia ano]],Tabela1[[#This Row],[vigencia mês]],Tabela1[[#This Row],[vigencia dia]])</f>
        <v>47058</v>
      </c>
    </row>
    <row r="135" spans="1:15" x14ac:dyDescent="0.25">
      <c r="A135" t="s">
        <v>41</v>
      </c>
      <c r="B135" t="s">
        <v>586</v>
      </c>
      <c r="C135" s="1">
        <v>10272172000178</v>
      </c>
      <c r="D135" t="s">
        <v>587</v>
      </c>
      <c r="E135" t="s">
        <v>298</v>
      </c>
      <c r="F135" t="s">
        <v>5</v>
      </c>
      <c r="G135">
        <v>69054691</v>
      </c>
      <c r="H135" t="s">
        <v>588</v>
      </c>
      <c r="I135" t="s">
        <v>589</v>
      </c>
      <c r="J135" t="s">
        <v>56</v>
      </c>
      <c r="K135">
        <v>6</v>
      </c>
      <c r="L135">
        <v>6</v>
      </c>
      <c r="M135">
        <v>2033</v>
      </c>
      <c r="N135" t="s">
        <v>47</v>
      </c>
      <c r="O135" s="5">
        <f>DATE(Tabela1[[#This Row],[vigencia ano]],Tabela1[[#This Row],[vigencia mês]],Tabela1[[#This Row],[vigencia dia]])</f>
        <v>48736</v>
      </c>
    </row>
    <row r="136" spans="1:15" x14ac:dyDescent="0.25">
      <c r="A136" t="s">
        <v>41</v>
      </c>
      <c r="B136" t="s">
        <v>586</v>
      </c>
      <c r="C136" s="1">
        <v>10272172000178</v>
      </c>
      <c r="D136" t="s">
        <v>587</v>
      </c>
      <c r="E136" t="s">
        <v>298</v>
      </c>
      <c r="F136" t="s">
        <v>5</v>
      </c>
      <c r="G136">
        <v>69054691</v>
      </c>
      <c r="H136" t="s">
        <v>590</v>
      </c>
      <c r="I136" t="s">
        <v>589</v>
      </c>
      <c r="J136" t="s">
        <v>56</v>
      </c>
      <c r="K136">
        <v>6</v>
      </c>
      <c r="L136">
        <v>6</v>
      </c>
      <c r="M136">
        <v>2033</v>
      </c>
      <c r="N136" t="s">
        <v>47</v>
      </c>
      <c r="O136" s="5">
        <f>DATE(Tabela1[[#This Row],[vigencia ano]],Tabela1[[#This Row],[vigencia mês]],Tabela1[[#This Row],[vigencia dia]])</f>
        <v>48736</v>
      </c>
    </row>
    <row r="137" spans="1:15" x14ac:dyDescent="0.25">
      <c r="A137" t="s">
        <v>41</v>
      </c>
      <c r="B137" t="s">
        <v>586</v>
      </c>
      <c r="C137" s="1">
        <v>10272172000178</v>
      </c>
      <c r="D137" t="s">
        <v>587</v>
      </c>
      <c r="E137" t="s">
        <v>298</v>
      </c>
      <c r="F137" t="s">
        <v>5</v>
      </c>
      <c r="G137">
        <v>69054691</v>
      </c>
      <c r="H137" t="s">
        <v>591</v>
      </c>
      <c r="I137" t="s">
        <v>589</v>
      </c>
      <c r="J137" t="s">
        <v>56</v>
      </c>
      <c r="K137">
        <v>6</v>
      </c>
      <c r="L137">
        <v>6</v>
      </c>
      <c r="M137">
        <v>2033</v>
      </c>
      <c r="N137" t="s">
        <v>47</v>
      </c>
      <c r="O137" s="5">
        <f>DATE(Tabela1[[#This Row],[vigencia ano]],Tabela1[[#This Row],[vigencia mês]],Tabela1[[#This Row],[vigencia dia]])</f>
        <v>48736</v>
      </c>
    </row>
    <row r="138" spans="1:15" x14ac:dyDescent="0.25">
      <c r="A138" t="s">
        <v>41</v>
      </c>
      <c r="B138" t="s">
        <v>592</v>
      </c>
      <c r="C138" s="1">
        <v>30406564000190</v>
      </c>
      <c r="D138" t="s">
        <v>593</v>
      </c>
      <c r="E138" t="s">
        <v>298</v>
      </c>
      <c r="F138" t="s">
        <v>5</v>
      </c>
      <c r="G138">
        <v>69093102</v>
      </c>
      <c r="H138" t="s">
        <v>594</v>
      </c>
      <c r="I138" t="s">
        <v>595</v>
      </c>
      <c r="J138" t="s">
        <v>56</v>
      </c>
      <c r="K138">
        <v>10</v>
      </c>
      <c r="L138">
        <v>27</v>
      </c>
      <c r="M138">
        <v>2030</v>
      </c>
      <c r="N138" t="s">
        <v>47</v>
      </c>
      <c r="O138" s="5">
        <f>DATE(Tabela1[[#This Row],[vigencia ano]],Tabela1[[#This Row],[vigencia mês]],Tabela1[[#This Row],[vigencia dia]])</f>
        <v>48283</v>
      </c>
    </row>
    <row r="139" spans="1:15" x14ac:dyDescent="0.25">
      <c r="A139" t="s">
        <v>41</v>
      </c>
      <c r="B139" t="s">
        <v>596</v>
      </c>
      <c r="C139" s="1">
        <v>54661155000106</v>
      </c>
      <c r="D139" t="s">
        <v>597</v>
      </c>
      <c r="E139" t="s">
        <v>298</v>
      </c>
      <c r="F139" t="s">
        <v>5</v>
      </c>
      <c r="G139">
        <v>69042120</v>
      </c>
      <c r="H139" t="s">
        <v>598</v>
      </c>
      <c r="I139" t="s">
        <v>599</v>
      </c>
      <c r="J139" t="s">
        <v>56</v>
      </c>
      <c r="K139">
        <v>8</v>
      </c>
      <c r="L139">
        <v>28</v>
      </c>
      <c r="M139">
        <v>2034</v>
      </c>
      <c r="N139" t="s">
        <v>47</v>
      </c>
      <c r="O139" s="5">
        <f>DATE(Tabela1[[#This Row],[vigencia ano]],Tabela1[[#This Row],[vigencia mês]],Tabela1[[#This Row],[vigencia dia]])</f>
        <v>49773</v>
      </c>
    </row>
    <row r="140" spans="1:15" x14ac:dyDescent="0.25">
      <c r="A140" t="s">
        <v>41</v>
      </c>
      <c r="B140" t="s">
        <v>600</v>
      </c>
      <c r="C140" s="1">
        <v>16851421000166</v>
      </c>
      <c r="D140" t="s">
        <v>601</v>
      </c>
      <c r="E140" t="s">
        <v>298</v>
      </c>
      <c r="F140" t="s">
        <v>5</v>
      </c>
      <c r="G140">
        <v>69097110</v>
      </c>
      <c r="H140" t="s">
        <v>602</v>
      </c>
      <c r="I140" t="s">
        <v>603</v>
      </c>
      <c r="J140" t="s">
        <v>56</v>
      </c>
      <c r="K140">
        <v>8</v>
      </c>
      <c r="L140">
        <v>22</v>
      </c>
      <c r="M140">
        <v>2032</v>
      </c>
      <c r="N140" t="s">
        <v>47</v>
      </c>
      <c r="O140" s="5">
        <f>DATE(Tabela1[[#This Row],[vigencia ano]],Tabela1[[#This Row],[vigencia mês]],Tabela1[[#This Row],[vigencia dia]])</f>
        <v>48860</v>
      </c>
    </row>
    <row r="141" spans="1:15" x14ac:dyDescent="0.25">
      <c r="A141" t="s">
        <v>41</v>
      </c>
      <c r="B141" t="s">
        <v>604</v>
      </c>
      <c r="C141" s="1">
        <v>84502244000162</v>
      </c>
      <c r="D141" t="s">
        <v>605</v>
      </c>
      <c r="E141" t="s">
        <v>298</v>
      </c>
      <c r="F141" t="s">
        <v>5</v>
      </c>
      <c r="G141">
        <v>69057035</v>
      </c>
      <c r="H141" t="s">
        <v>606</v>
      </c>
      <c r="I141" t="s">
        <v>607</v>
      </c>
      <c r="J141" t="s">
        <v>56</v>
      </c>
      <c r="K141">
        <v>3</v>
      </c>
      <c r="L141">
        <v>18</v>
      </c>
      <c r="M141">
        <v>2023</v>
      </c>
      <c r="N141" t="s">
        <v>47</v>
      </c>
      <c r="O141" s="5">
        <f>DATE(Tabela1[[#This Row],[vigencia ano]],Tabela1[[#This Row],[vigencia mês]],Tabela1[[#This Row],[vigencia dia]])</f>
        <v>45446</v>
      </c>
    </row>
    <row r="142" spans="1:15" x14ac:dyDescent="0.25">
      <c r="A142" t="s">
        <v>41</v>
      </c>
      <c r="B142" t="s">
        <v>608</v>
      </c>
      <c r="C142" s="1">
        <v>9531610000196</v>
      </c>
      <c r="D142" t="s">
        <v>609</v>
      </c>
      <c r="E142" t="s">
        <v>298</v>
      </c>
      <c r="F142" t="s">
        <v>5</v>
      </c>
      <c r="G142">
        <v>69070840</v>
      </c>
      <c r="H142" t="s">
        <v>610</v>
      </c>
      <c r="I142" t="s">
        <v>611</v>
      </c>
      <c r="J142" t="s">
        <v>46</v>
      </c>
      <c r="K142">
        <v>12</v>
      </c>
      <c r="L142">
        <v>16</v>
      </c>
      <c r="M142">
        <v>2021</v>
      </c>
      <c r="N142" t="s">
        <v>47</v>
      </c>
      <c r="O142" s="5">
        <f>DATE(Tabela1[[#This Row],[vigencia ano]],Tabela1[[#This Row],[vigencia mês]],Tabela1[[#This Row],[vigencia dia]])</f>
        <v>44663</v>
      </c>
    </row>
    <row r="143" spans="1:15" x14ac:dyDescent="0.25">
      <c r="A143" t="s">
        <v>41</v>
      </c>
      <c r="B143" t="s">
        <v>612</v>
      </c>
      <c r="C143" s="1">
        <v>1661770000148</v>
      </c>
      <c r="D143" t="s">
        <v>613</v>
      </c>
      <c r="E143" t="s">
        <v>298</v>
      </c>
      <c r="F143" t="s">
        <v>5</v>
      </c>
      <c r="G143">
        <v>69075010</v>
      </c>
      <c r="H143" t="s">
        <v>614</v>
      </c>
      <c r="I143" t="s">
        <v>615</v>
      </c>
      <c r="J143" t="s">
        <v>56</v>
      </c>
      <c r="K143">
        <v>3</v>
      </c>
      <c r="L143">
        <v>10</v>
      </c>
      <c r="M143">
        <v>2033</v>
      </c>
      <c r="N143" t="s">
        <v>47</v>
      </c>
      <c r="O143" s="5">
        <f>DATE(Tabela1[[#This Row],[vigencia ano]],Tabela1[[#This Row],[vigencia mês]],Tabela1[[#This Row],[vigencia dia]])</f>
        <v>48855</v>
      </c>
    </row>
    <row r="144" spans="1:15" x14ac:dyDescent="0.25">
      <c r="A144" t="s">
        <v>41</v>
      </c>
      <c r="B144" t="s">
        <v>616</v>
      </c>
      <c r="C144" s="1">
        <v>1741756000154</v>
      </c>
      <c r="D144" t="s">
        <v>617</v>
      </c>
      <c r="E144" t="s">
        <v>298</v>
      </c>
      <c r="F144" t="s">
        <v>5</v>
      </c>
      <c r="G144">
        <v>69020290</v>
      </c>
      <c r="H144" t="s">
        <v>618</v>
      </c>
      <c r="I144" t="s">
        <v>619</v>
      </c>
      <c r="J144" t="s">
        <v>56</v>
      </c>
      <c r="K144">
        <v>4</v>
      </c>
      <c r="L144">
        <v>8</v>
      </c>
      <c r="M144">
        <v>2019</v>
      </c>
      <c r="N144" t="s">
        <v>47</v>
      </c>
      <c r="O144" s="5">
        <f>DATE(Tabela1[[#This Row],[vigencia ano]],Tabela1[[#This Row],[vigencia mês]],Tabela1[[#This Row],[vigencia dia]])</f>
        <v>43681</v>
      </c>
    </row>
    <row r="145" spans="1:15" x14ac:dyDescent="0.25">
      <c r="A145" t="s">
        <v>41</v>
      </c>
      <c r="B145" t="s">
        <v>620</v>
      </c>
      <c r="C145" s="1">
        <v>19122124000178</v>
      </c>
      <c r="D145" t="s">
        <v>621</v>
      </c>
      <c r="E145" t="s">
        <v>298</v>
      </c>
      <c r="F145" t="s">
        <v>5</v>
      </c>
      <c r="G145">
        <v>69090730</v>
      </c>
      <c r="H145" t="s">
        <v>622</v>
      </c>
      <c r="I145" t="s">
        <v>623</v>
      </c>
      <c r="J145" t="s">
        <v>56</v>
      </c>
      <c r="K145">
        <v>3</v>
      </c>
      <c r="L145">
        <v>5</v>
      </c>
      <c r="M145">
        <v>2034</v>
      </c>
      <c r="N145" t="s">
        <v>47</v>
      </c>
      <c r="O145" s="5">
        <f>DATE(Tabela1[[#This Row],[vigencia ano]],Tabela1[[#This Row],[vigencia mês]],Tabela1[[#This Row],[vigencia dia]])</f>
        <v>49067</v>
      </c>
    </row>
    <row r="146" spans="1:15" x14ac:dyDescent="0.25">
      <c r="A146" t="s">
        <v>41</v>
      </c>
      <c r="B146" t="s">
        <v>624</v>
      </c>
      <c r="C146" s="1">
        <v>8268378000182</v>
      </c>
      <c r="D146" t="s">
        <v>625</v>
      </c>
      <c r="E146" t="s">
        <v>298</v>
      </c>
      <c r="F146" t="s">
        <v>5</v>
      </c>
      <c r="G146">
        <v>69075155</v>
      </c>
      <c r="H146" t="s">
        <v>626</v>
      </c>
      <c r="I146" t="s">
        <v>627</v>
      </c>
      <c r="J146" t="s">
        <v>46</v>
      </c>
      <c r="K146">
        <v>6</v>
      </c>
      <c r="L146">
        <v>4</v>
      </c>
      <c r="M146">
        <v>2034</v>
      </c>
      <c r="N146" t="s">
        <v>47</v>
      </c>
      <c r="O146" s="5">
        <f>DATE(Tabela1[[#This Row],[vigencia ano]],Tabela1[[#This Row],[vigencia mês]],Tabela1[[#This Row],[vigencia dia]])</f>
        <v>49040</v>
      </c>
    </row>
    <row r="147" spans="1:15" x14ac:dyDescent="0.25">
      <c r="A147" t="s">
        <v>41</v>
      </c>
      <c r="B147" t="s">
        <v>628</v>
      </c>
      <c r="C147" s="1">
        <v>30416561000137</v>
      </c>
      <c r="D147" t="s">
        <v>629</v>
      </c>
      <c r="E147" t="s">
        <v>298</v>
      </c>
      <c r="F147" t="s">
        <v>5</v>
      </c>
      <c r="G147">
        <v>69055038</v>
      </c>
      <c r="H147" t="s">
        <v>630</v>
      </c>
      <c r="I147" t="s">
        <v>631</v>
      </c>
      <c r="J147" t="s">
        <v>56</v>
      </c>
      <c r="K147">
        <v>7</v>
      </c>
      <c r="L147">
        <v>24</v>
      </c>
      <c r="M147">
        <v>2028</v>
      </c>
      <c r="N147" t="s">
        <v>47</v>
      </c>
      <c r="O147" s="5">
        <f>DATE(Tabela1[[#This Row],[vigencia ano]],Tabela1[[#This Row],[vigencia mês]],Tabela1[[#This Row],[vigencia dia]])</f>
        <v>47459</v>
      </c>
    </row>
    <row r="148" spans="1:15" x14ac:dyDescent="0.25">
      <c r="A148" t="s">
        <v>41</v>
      </c>
      <c r="B148" t="s">
        <v>632</v>
      </c>
      <c r="C148" s="1">
        <v>18624436000117</v>
      </c>
      <c r="D148" t="s">
        <v>633</v>
      </c>
      <c r="E148" t="s">
        <v>298</v>
      </c>
      <c r="F148" t="s">
        <v>5</v>
      </c>
      <c r="G148">
        <v>69058080</v>
      </c>
      <c r="H148" t="s">
        <v>634</v>
      </c>
      <c r="I148" t="s">
        <v>635</v>
      </c>
      <c r="J148" t="s">
        <v>56</v>
      </c>
      <c r="K148">
        <v>5</v>
      </c>
      <c r="L148">
        <v>15</v>
      </c>
      <c r="M148">
        <v>2030</v>
      </c>
      <c r="N148" t="s">
        <v>47</v>
      </c>
      <c r="O148" s="5">
        <f>DATE(Tabela1[[#This Row],[vigencia ano]],Tabela1[[#This Row],[vigencia mês]],Tabela1[[#This Row],[vigencia dia]])</f>
        <v>47912</v>
      </c>
    </row>
    <row r="149" spans="1:15" x14ac:dyDescent="0.25">
      <c r="A149" t="s">
        <v>41</v>
      </c>
      <c r="B149" t="s">
        <v>636</v>
      </c>
      <c r="C149" s="1">
        <v>63698724000170</v>
      </c>
      <c r="D149" t="s">
        <v>637</v>
      </c>
      <c r="E149" t="s">
        <v>638</v>
      </c>
      <c r="F149" t="s">
        <v>5</v>
      </c>
      <c r="G149">
        <v>69280000</v>
      </c>
      <c r="H149" t="s">
        <v>639</v>
      </c>
      <c r="I149" t="s">
        <v>640</v>
      </c>
      <c r="J149" t="s">
        <v>56</v>
      </c>
      <c r="K149">
        <v>4</v>
      </c>
      <c r="L149">
        <v>14</v>
      </c>
      <c r="M149">
        <v>2031</v>
      </c>
      <c r="N149" t="s">
        <v>47</v>
      </c>
      <c r="O149" s="5">
        <f>DATE(Tabela1[[#This Row],[vigencia ano]],Tabela1[[#This Row],[vigencia mês]],Tabela1[[#This Row],[vigencia dia]])</f>
        <v>48248</v>
      </c>
    </row>
    <row r="150" spans="1:15" x14ac:dyDescent="0.25">
      <c r="A150" t="s">
        <v>41</v>
      </c>
      <c r="B150" t="s">
        <v>641</v>
      </c>
      <c r="C150" s="1">
        <v>22762223000129</v>
      </c>
      <c r="D150" t="s">
        <v>642</v>
      </c>
      <c r="E150" t="s">
        <v>643</v>
      </c>
      <c r="F150" t="s">
        <v>5</v>
      </c>
      <c r="G150">
        <v>69640000</v>
      </c>
      <c r="H150" t="s">
        <v>644</v>
      </c>
      <c r="I150" t="s">
        <v>645</v>
      </c>
      <c r="J150" t="s">
        <v>56</v>
      </c>
      <c r="K150">
        <v>12</v>
      </c>
      <c r="L150">
        <v>9</v>
      </c>
      <c r="M150">
        <v>2031</v>
      </c>
      <c r="N150" t="s">
        <v>47</v>
      </c>
      <c r="O150" s="5">
        <f>DATE(Tabela1[[#This Row],[vigencia ano]],Tabela1[[#This Row],[vigencia mês]],Tabela1[[#This Row],[vigencia dia]])</f>
        <v>48103</v>
      </c>
    </row>
    <row r="151" spans="1:15" x14ac:dyDescent="0.25">
      <c r="A151" t="s">
        <v>41</v>
      </c>
      <c r="B151" t="s">
        <v>646</v>
      </c>
      <c r="C151" s="1">
        <v>29574206000107</v>
      </c>
      <c r="D151" t="s">
        <v>647</v>
      </c>
      <c r="E151" t="s">
        <v>643</v>
      </c>
      <c r="F151" t="s">
        <v>5</v>
      </c>
      <c r="G151">
        <v>69640000</v>
      </c>
      <c r="H151" t="s">
        <v>648</v>
      </c>
      <c r="I151" t="s">
        <v>649</v>
      </c>
      <c r="J151" t="s">
        <v>56</v>
      </c>
      <c r="K151">
        <v>3</v>
      </c>
      <c r="L151">
        <v>21</v>
      </c>
      <c r="M151">
        <v>2035</v>
      </c>
      <c r="N151" t="s">
        <v>650</v>
      </c>
      <c r="O151" s="5">
        <f>DATE(Tabela1[[#This Row],[vigencia ano]],Tabela1[[#This Row],[vigencia mês]],Tabela1[[#This Row],[vigencia dia]])</f>
        <v>49921</v>
      </c>
    </row>
    <row r="152" spans="1:15" x14ac:dyDescent="0.25">
      <c r="A152" t="s">
        <v>41</v>
      </c>
      <c r="B152" t="s">
        <v>651</v>
      </c>
      <c r="C152" s="1">
        <v>8174282000155</v>
      </c>
      <c r="D152" t="s">
        <v>652</v>
      </c>
      <c r="E152" t="s">
        <v>653</v>
      </c>
      <c r="F152" t="s">
        <v>13</v>
      </c>
      <c r="G152">
        <v>69312212</v>
      </c>
      <c r="H152" t="s">
        <v>654</v>
      </c>
      <c r="I152" t="s">
        <v>655</v>
      </c>
      <c r="J152" t="s">
        <v>56</v>
      </c>
      <c r="K152">
        <v>6</v>
      </c>
      <c r="L152">
        <v>29</v>
      </c>
      <c r="M152">
        <v>2030</v>
      </c>
      <c r="N152" t="s">
        <v>47</v>
      </c>
      <c r="O152" s="5">
        <f>DATE(Tabela1[[#This Row],[vigencia ano]],Tabela1[[#This Row],[vigencia mês]],Tabela1[[#This Row],[vigencia dia]])</f>
        <v>48340</v>
      </c>
    </row>
    <row r="153" spans="1:15" x14ac:dyDescent="0.25">
      <c r="A153" t="s">
        <v>41</v>
      </c>
      <c r="B153" t="s">
        <v>656</v>
      </c>
      <c r="C153" s="1">
        <v>10625216000104</v>
      </c>
      <c r="D153" t="s">
        <v>657</v>
      </c>
      <c r="E153" t="s">
        <v>658</v>
      </c>
      <c r="F153" t="s">
        <v>6</v>
      </c>
      <c r="G153">
        <v>68371180</v>
      </c>
      <c r="H153" t="s">
        <v>659</v>
      </c>
      <c r="I153" t="s">
        <v>660</v>
      </c>
      <c r="J153" t="s">
        <v>56</v>
      </c>
      <c r="K153">
        <v>3</v>
      </c>
      <c r="L153">
        <v>10</v>
      </c>
      <c r="M153">
        <v>2024</v>
      </c>
      <c r="N153" t="s">
        <v>47</v>
      </c>
      <c r="O153" s="5">
        <f>DATE(Tabela1[[#This Row],[vigencia ano]],Tabela1[[#This Row],[vigencia mês]],Tabela1[[#This Row],[vigencia dia]])</f>
        <v>45568</v>
      </c>
    </row>
    <row r="154" spans="1:15" x14ac:dyDescent="0.25">
      <c r="A154" t="s">
        <v>41</v>
      </c>
      <c r="B154" t="s">
        <v>661</v>
      </c>
      <c r="C154" s="1">
        <v>8754934000120</v>
      </c>
      <c r="D154" t="s">
        <v>662</v>
      </c>
      <c r="E154" t="s">
        <v>663</v>
      </c>
      <c r="F154" t="s">
        <v>6</v>
      </c>
      <c r="G154">
        <v>67130000</v>
      </c>
      <c r="H154" t="s">
        <v>664</v>
      </c>
      <c r="I154" t="s">
        <v>665</v>
      </c>
      <c r="J154" t="s">
        <v>56</v>
      </c>
      <c r="K154">
        <v>6</v>
      </c>
      <c r="L154">
        <v>25</v>
      </c>
      <c r="M154">
        <v>2031</v>
      </c>
      <c r="N154" t="s">
        <v>47</v>
      </c>
      <c r="O154" s="5">
        <f>DATE(Tabela1[[#This Row],[vigencia ano]],Tabela1[[#This Row],[vigencia mês]],Tabela1[[#This Row],[vigencia dia]])</f>
        <v>48585</v>
      </c>
    </row>
    <row r="155" spans="1:15" x14ac:dyDescent="0.25">
      <c r="A155" t="s">
        <v>41</v>
      </c>
      <c r="B155" t="s">
        <v>666</v>
      </c>
      <c r="C155" s="1">
        <v>34914283000107</v>
      </c>
      <c r="D155" t="s">
        <v>667</v>
      </c>
      <c r="E155" t="s">
        <v>663</v>
      </c>
      <c r="F155" t="s">
        <v>6</v>
      </c>
      <c r="G155">
        <v>67110290</v>
      </c>
      <c r="H155" t="s">
        <v>668</v>
      </c>
      <c r="I155" t="s">
        <v>669</v>
      </c>
      <c r="J155" t="s">
        <v>56</v>
      </c>
      <c r="K155">
        <v>7</v>
      </c>
      <c r="L155">
        <v>16</v>
      </c>
      <c r="M155">
        <v>2024</v>
      </c>
      <c r="N155" t="s">
        <v>47</v>
      </c>
      <c r="O155" s="5">
        <f>DATE(Tabela1[[#This Row],[vigencia ano]],Tabela1[[#This Row],[vigencia mês]],Tabela1[[#This Row],[vigencia dia]])</f>
        <v>45754</v>
      </c>
    </row>
    <row r="156" spans="1:15" x14ac:dyDescent="0.25">
      <c r="A156" t="s">
        <v>41</v>
      </c>
      <c r="B156" t="s">
        <v>670</v>
      </c>
      <c r="C156" s="1">
        <v>2149109000110</v>
      </c>
      <c r="D156" t="s">
        <v>671</v>
      </c>
      <c r="E156" t="s">
        <v>663</v>
      </c>
      <c r="F156" t="s">
        <v>6</v>
      </c>
      <c r="G156">
        <v>67010000</v>
      </c>
      <c r="H156" t="s">
        <v>672</v>
      </c>
      <c r="I156" t="s">
        <v>673</v>
      </c>
      <c r="J156" t="s">
        <v>56</v>
      </c>
      <c r="K156">
        <v>6</v>
      </c>
      <c r="L156">
        <v>5</v>
      </c>
      <c r="M156">
        <v>2024</v>
      </c>
      <c r="N156" t="s">
        <v>47</v>
      </c>
      <c r="O156" s="5">
        <f>DATE(Tabela1[[#This Row],[vigencia ano]],Tabela1[[#This Row],[vigencia mês]],Tabela1[[#This Row],[vigencia dia]])</f>
        <v>45418</v>
      </c>
    </row>
    <row r="157" spans="1:15" x14ac:dyDescent="0.25">
      <c r="A157" t="s">
        <v>41</v>
      </c>
      <c r="B157" t="s">
        <v>674</v>
      </c>
      <c r="C157" s="1">
        <v>4696992000194</v>
      </c>
      <c r="D157" t="s">
        <v>675</v>
      </c>
      <c r="E157" t="s">
        <v>663</v>
      </c>
      <c r="F157" t="s">
        <v>6</v>
      </c>
      <c r="G157">
        <v>67030000</v>
      </c>
      <c r="H157" t="s">
        <v>676</v>
      </c>
      <c r="I157" t="s">
        <v>677</v>
      </c>
      <c r="J157" t="s">
        <v>56</v>
      </c>
      <c r="K157">
        <v>2</v>
      </c>
      <c r="L157">
        <v>26</v>
      </c>
      <c r="M157">
        <v>2036</v>
      </c>
      <c r="N157" t="s">
        <v>678</v>
      </c>
      <c r="O157" s="5">
        <f>DATE(Tabela1[[#This Row],[vigencia ano]],Tabela1[[#This Row],[vigencia mês]],Tabela1[[#This Row],[vigencia dia]])</f>
        <v>50438</v>
      </c>
    </row>
    <row r="158" spans="1:15" x14ac:dyDescent="0.25">
      <c r="A158" t="s">
        <v>41</v>
      </c>
      <c r="B158" t="s">
        <v>679</v>
      </c>
      <c r="C158" s="1">
        <v>10711378000157</v>
      </c>
      <c r="D158" t="s">
        <v>680</v>
      </c>
      <c r="E158" t="s">
        <v>663</v>
      </c>
      <c r="F158" t="s">
        <v>6</v>
      </c>
      <c r="G158">
        <v>67145470</v>
      </c>
      <c r="H158" t="s">
        <v>681</v>
      </c>
      <c r="I158" t="s">
        <v>682</v>
      </c>
      <c r="J158" t="s">
        <v>56</v>
      </c>
      <c r="K158">
        <v>7</v>
      </c>
      <c r="L158">
        <v>9</v>
      </c>
      <c r="M158">
        <v>2030</v>
      </c>
      <c r="N158" t="s">
        <v>47</v>
      </c>
      <c r="O158" s="5">
        <f>DATE(Tabela1[[#This Row],[vigencia ano]],Tabela1[[#This Row],[vigencia mês]],Tabela1[[#This Row],[vigencia dia]])</f>
        <v>47733</v>
      </c>
    </row>
    <row r="159" spans="1:15" x14ac:dyDescent="0.25">
      <c r="A159" t="s">
        <v>41</v>
      </c>
      <c r="B159" t="s">
        <v>683</v>
      </c>
      <c r="C159" s="1">
        <v>84201672000155</v>
      </c>
      <c r="D159" t="s">
        <v>684</v>
      </c>
      <c r="E159" t="s">
        <v>663</v>
      </c>
      <c r="F159" t="s">
        <v>6</v>
      </c>
      <c r="G159">
        <v>67015520</v>
      </c>
      <c r="H159" t="s">
        <v>685</v>
      </c>
      <c r="I159" t="s">
        <v>686</v>
      </c>
      <c r="J159" t="s">
        <v>56</v>
      </c>
      <c r="K159">
        <v>11</v>
      </c>
      <c r="L159">
        <v>6</v>
      </c>
      <c r="M159">
        <v>2029</v>
      </c>
      <c r="N159" t="s">
        <v>47</v>
      </c>
      <c r="O159" s="5">
        <f>DATE(Tabela1[[#This Row],[vigencia ano]],Tabela1[[#This Row],[vigencia mês]],Tabela1[[#This Row],[vigencia dia]])</f>
        <v>47280</v>
      </c>
    </row>
    <row r="160" spans="1:15" x14ac:dyDescent="0.25">
      <c r="A160" t="s">
        <v>41</v>
      </c>
      <c r="B160" t="s">
        <v>687</v>
      </c>
      <c r="C160" s="1">
        <v>12571101000100</v>
      </c>
      <c r="D160" t="s">
        <v>688</v>
      </c>
      <c r="E160" t="s">
        <v>663</v>
      </c>
      <c r="F160" t="s">
        <v>6</v>
      </c>
      <c r="G160">
        <v>67035330</v>
      </c>
      <c r="H160" t="s">
        <v>689</v>
      </c>
      <c r="I160" t="s">
        <v>690</v>
      </c>
      <c r="J160" t="s">
        <v>46</v>
      </c>
      <c r="K160">
        <v>12</v>
      </c>
      <c r="L160">
        <v>7</v>
      </c>
      <c r="M160">
        <v>2026</v>
      </c>
      <c r="N160" t="s">
        <v>47</v>
      </c>
      <c r="O160" s="5">
        <f>DATE(Tabela1[[#This Row],[vigencia ano]],Tabela1[[#This Row],[vigencia mês]],Tabela1[[#This Row],[vigencia dia]])</f>
        <v>46215</v>
      </c>
    </row>
    <row r="161" spans="1:15" x14ac:dyDescent="0.25">
      <c r="A161" t="s">
        <v>41</v>
      </c>
      <c r="B161" t="s">
        <v>691</v>
      </c>
      <c r="C161" s="1">
        <v>39424302000122</v>
      </c>
      <c r="D161" t="s">
        <v>692</v>
      </c>
      <c r="E161" t="s">
        <v>663</v>
      </c>
      <c r="F161" t="s">
        <v>6</v>
      </c>
      <c r="G161">
        <v>67120370</v>
      </c>
      <c r="H161" t="s">
        <v>693</v>
      </c>
      <c r="I161" t="s">
        <v>694</v>
      </c>
      <c r="J161" t="s">
        <v>56</v>
      </c>
      <c r="K161">
        <v>6</v>
      </c>
      <c r="L161">
        <v>11</v>
      </c>
      <c r="M161">
        <v>2034</v>
      </c>
      <c r="N161" t="s">
        <v>47</v>
      </c>
      <c r="O161" s="5">
        <f>DATE(Tabela1[[#This Row],[vigencia ano]],Tabela1[[#This Row],[vigencia mês]],Tabela1[[#This Row],[vigencia dia]])</f>
        <v>49254</v>
      </c>
    </row>
    <row r="162" spans="1:15" x14ac:dyDescent="0.25">
      <c r="A162" t="s">
        <v>41</v>
      </c>
      <c r="B162" t="s">
        <v>695</v>
      </c>
      <c r="C162" s="1">
        <v>22454868000102</v>
      </c>
      <c r="D162" t="s">
        <v>696</v>
      </c>
      <c r="E162" t="s">
        <v>663</v>
      </c>
      <c r="F162" t="s">
        <v>6</v>
      </c>
      <c r="G162">
        <v>67110000</v>
      </c>
      <c r="H162" t="s">
        <v>697</v>
      </c>
      <c r="I162" t="s">
        <v>698</v>
      </c>
      <c r="J162" t="s">
        <v>56</v>
      </c>
      <c r="K162">
        <v>11</v>
      </c>
      <c r="L162">
        <v>22</v>
      </c>
      <c r="M162">
        <v>2026</v>
      </c>
      <c r="N162" t="s">
        <v>47</v>
      </c>
      <c r="O162" s="5">
        <f>DATE(Tabela1[[#This Row],[vigencia ano]],Tabela1[[#This Row],[vigencia mês]],Tabela1[[#This Row],[vigencia dia]])</f>
        <v>46671</v>
      </c>
    </row>
    <row r="163" spans="1:15" x14ac:dyDescent="0.25">
      <c r="A163" t="s">
        <v>41</v>
      </c>
      <c r="B163" t="s">
        <v>699</v>
      </c>
      <c r="C163" s="1">
        <v>6063153000164</v>
      </c>
      <c r="D163" t="s">
        <v>700</v>
      </c>
      <c r="E163" t="s">
        <v>663</v>
      </c>
      <c r="F163" t="s">
        <v>6</v>
      </c>
      <c r="G163">
        <v>67130000</v>
      </c>
      <c r="H163" t="s">
        <v>701</v>
      </c>
      <c r="I163" t="s">
        <v>702</v>
      </c>
      <c r="J163" t="s">
        <v>56</v>
      </c>
      <c r="K163">
        <v>10</v>
      </c>
      <c r="L163">
        <v>27</v>
      </c>
      <c r="M163">
        <v>2019</v>
      </c>
      <c r="N163" t="s">
        <v>47</v>
      </c>
      <c r="O163" s="5">
        <f>DATE(Tabela1[[#This Row],[vigencia ano]],Tabela1[[#This Row],[vigencia mês]],Tabela1[[#This Row],[vigencia dia]])</f>
        <v>44265</v>
      </c>
    </row>
    <row r="164" spans="1:15" x14ac:dyDescent="0.25">
      <c r="A164" t="s">
        <v>41</v>
      </c>
      <c r="B164" t="s">
        <v>703</v>
      </c>
      <c r="C164" s="1">
        <v>2763624000196</v>
      </c>
      <c r="D164" t="s">
        <v>704</v>
      </c>
      <c r="E164" t="s">
        <v>663</v>
      </c>
      <c r="F164" t="s">
        <v>6</v>
      </c>
      <c r="G164">
        <v>67030000</v>
      </c>
      <c r="H164" t="s">
        <v>705</v>
      </c>
      <c r="I164" t="s">
        <v>706</v>
      </c>
      <c r="J164" t="s">
        <v>56</v>
      </c>
      <c r="K164">
        <v>8</v>
      </c>
      <c r="L164">
        <v>2</v>
      </c>
      <c r="M164">
        <v>2026</v>
      </c>
      <c r="N164" t="s">
        <v>47</v>
      </c>
      <c r="O164" s="5">
        <f>DATE(Tabela1[[#This Row],[vigencia ano]],Tabela1[[#This Row],[vigencia mês]],Tabela1[[#This Row],[vigencia dia]])</f>
        <v>46061</v>
      </c>
    </row>
    <row r="165" spans="1:15" x14ac:dyDescent="0.25">
      <c r="A165" t="s">
        <v>41</v>
      </c>
      <c r="B165" t="s">
        <v>707</v>
      </c>
      <c r="C165" s="1">
        <v>34130063000184</v>
      </c>
      <c r="D165" t="s">
        <v>708</v>
      </c>
      <c r="E165" t="s">
        <v>709</v>
      </c>
      <c r="F165" t="s">
        <v>6</v>
      </c>
      <c r="G165">
        <v>68447000</v>
      </c>
      <c r="H165" t="s">
        <v>710</v>
      </c>
      <c r="I165" t="s">
        <v>711</v>
      </c>
      <c r="J165" t="s">
        <v>56</v>
      </c>
      <c r="K165">
        <v>7</v>
      </c>
      <c r="L165">
        <v>4</v>
      </c>
      <c r="M165">
        <v>2033</v>
      </c>
      <c r="N165" t="s">
        <v>47</v>
      </c>
      <c r="O165" s="5">
        <f>DATE(Tabela1[[#This Row],[vigencia ano]],Tabela1[[#This Row],[vigencia mês]],Tabela1[[#This Row],[vigencia dia]])</f>
        <v>48676</v>
      </c>
    </row>
    <row r="166" spans="1:15" x14ac:dyDescent="0.25">
      <c r="A166" t="s">
        <v>41</v>
      </c>
      <c r="B166" t="s">
        <v>712</v>
      </c>
      <c r="C166" s="1">
        <v>21019319000139</v>
      </c>
      <c r="D166" t="s">
        <v>713</v>
      </c>
      <c r="E166" t="s">
        <v>709</v>
      </c>
      <c r="F166" t="s">
        <v>6</v>
      </c>
      <c r="G166">
        <v>68447000</v>
      </c>
      <c r="H166" t="s">
        <v>714</v>
      </c>
      <c r="I166" t="s">
        <v>715</v>
      </c>
      <c r="J166" t="s">
        <v>46</v>
      </c>
      <c r="K166">
        <v>3</v>
      </c>
      <c r="L166">
        <v>23</v>
      </c>
      <c r="M166">
        <v>2033</v>
      </c>
      <c r="N166" t="s">
        <v>47</v>
      </c>
      <c r="O166" s="5">
        <f>DATE(Tabela1[[#This Row],[vigencia ano]],Tabela1[[#This Row],[vigencia mês]],Tabela1[[#This Row],[vigencia dia]])</f>
        <v>49251</v>
      </c>
    </row>
    <row r="167" spans="1:15" x14ac:dyDescent="0.25">
      <c r="A167" t="s">
        <v>41</v>
      </c>
      <c r="B167" t="s">
        <v>716</v>
      </c>
      <c r="C167" s="1">
        <v>13574672000152</v>
      </c>
      <c r="D167" t="s">
        <v>717</v>
      </c>
      <c r="E167" t="s">
        <v>709</v>
      </c>
      <c r="F167" t="s">
        <v>6</v>
      </c>
      <c r="G167">
        <v>68445000</v>
      </c>
      <c r="H167" t="s">
        <v>718</v>
      </c>
      <c r="I167" t="s">
        <v>719</v>
      </c>
      <c r="J167" t="s">
        <v>56</v>
      </c>
      <c r="K167">
        <v>5</v>
      </c>
      <c r="L167">
        <v>9</v>
      </c>
      <c r="M167">
        <v>2029</v>
      </c>
      <c r="N167" t="s">
        <v>47</v>
      </c>
      <c r="O167" s="5">
        <f>DATE(Tabela1[[#This Row],[vigencia ano]],Tabela1[[#This Row],[vigencia mês]],Tabela1[[#This Row],[vigencia dia]])</f>
        <v>47366</v>
      </c>
    </row>
    <row r="168" spans="1:15" x14ac:dyDescent="0.25">
      <c r="A168" t="s">
        <v>41</v>
      </c>
      <c r="B168" t="s">
        <v>720</v>
      </c>
      <c r="C168" s="1">
        <v>83892117000154</v>
      </c>
      <c r="D168" t="s">
        <v>721</v>
      </c>
      <c r="E168" t="s">
        <v>722</v>
      </c>
      <c r="F168" t="s">
        <v>6</v>
      </c>
      <c r="G168">
        <v>66045315</v>
      </c>
      <c r="H168" t="s">
        <v>723</v>
      </c>
      <c r="I168" t="s">
        <v>724</v>
      </c>
      <c r="J168" t="s">
        <v>56</v>
      </c>
      <c r="K168">
        <v>10</v>
      </c>
      <c r="L168">
        <v>27</v>
      </c>
      <c r="M168">
        <v>2019</v>
      </c>
      <c r="N168" t="s">
        <v>47</v>
      </c>
      <c r="O168" s="5">
        <f>DATE(Tabela1[[#This Row],[vigencia ano]],Tabela1[[#This Row],[vigencia mês]],Tabela1[[#This Row],[vigencia dia]])</f>
        <v>44265</v>
      </c>
    </row>
    <row r="169" spans="1:15" x14ac:dyDescent="0.25">
      <c r="A169" t="s">
        <v>41</v>
      </c>
      <c r="B169" t="s">
        <v>725</v>
      </c>
      <c r="C169" s="1">
        <v>22998059000153</v>
      </c>
      <c r="D169" t="s">
        <v>726</v>
      </c>
      <c r="E169" t="s">
        <v>722</v>
      </c>
      <c r="F169" t="s">
        <v>6</v>
      </c>
      <c r="G169">
        <v>66083000</v>
      </c>
      <c r="H169" t="s">
        <v>727</v>
      </c>
      <c r="I169" t="s">
        <v>728</v>
      </c>
      <c r="J169" t="s">
        <v>56</v>
      </c>
      <c r="K169">
        <v>6</v>
      </c>
      <c r="L169">
        <v>16</v>
      </c>
      <c r="M169">
        <v>2026</v>
      </c>
      <c r="N169" t="s">
        <v>47</v>
      </c>
      <c r="O169" s="5">
        <f>DATE(Tabela1[[#This Row],[vigencia ano]],Tabela1[[#This Row],[vigencia mês]],Tabela1[[#This Row],[vigencia dia]])</f>
        <v>46483</v>
      </c>
    </row>
    <row r="170" spans="1:15" x14ac:dyDescent="0.25">
      <c r="A170" t="s">
        <v>41</v>
      </c>
      <c r="B170" t="s">
        <v>729</v>
      </c>
      <c r="C170" s="1">
        <v>15573776000178</v>
      </c>
      <c r="D170" t="s">
        <v>730</v>
      </c>
      <c r="E170" t="s">
        <v>722</v>
      </c>
      <c r="F170" t="s">
        <v>6</v>
      </c>
      <c r="G170">
        <v>66825000</v>
      </c>
      <c r="H170" t="s">
        <v>731</v>
      </c>
      <c r="I170" t="s">
        <v>732</v>
      </c>
      <c r="J170" t="s">
        <v>56</v>
      </c>
      <c r="K170">
        <v>4</v>
      </c>
      <c r="L170">
        <v>29</v>
      </c>
      <c r="M170">
        <v>2025</v>
      </c>
      <c r="N170" t="s">
        <v>47</v>
      </c>
      <c r="O170" s="5">
        <f>DATE(Tabela1[[#This Row],[vigencia ano]],Tabela1[[#This Row],[vigencia mês]],Tabela1[[#This Row],[vigencia dia]])</f>
        <v>46511</v>
      </c>
    </row>
    <row r="171" spans="1:15" x14ac:dyDescent="0.25">
      <c r="A171" t="s">
        <v>41</v>
      </c>
      <c r="B171" t="s">
        <v>733</v>
      </c>
      <c r="C171" s="1">
        <v>39613354000147</v>
      </c>
      <c r="D171" t="s">
        <v>734</v>
      </c>
      <c r="E171" t="s">
        <v>722</v>
      </c>
      <c r="F171" t="s">
        <v>6</v>
      </c>
      <c r="G171">
        <v>66083000</v>
      </c>
      <c r="H171" t="s">
        <v>735</v>
      </c>
      <c r="I171" t="s">
        <v>736</v>
      </c>
      <c r="J171" t="s">
        <v>56</v>
      </c>
      <c r="K171">
        <v>10</v>
      </c>
      <c r="L171">
        <v>4</v>
      </c>
      <c r="M171">
        <v>2031</v>
      </c>
      <c r="N171" t="s">
        <v>47</v>
      </c>
      <c r="O171" s="5">
        <f>DATE(Tabela1[[#This Row],[vigencia ano]],Tabela1[[#This Row],[vigencia mês]],Tabela1[[#This Row],[vigencia dia]])</f>
        <v>47948</v>
      </c>
    </row>
    <row r="172" spans="1:15" x14ac:dyDescent="0.25">
      <c r="A172" t="s">
        <v>41</v>
      </c>
      <c r="B172" t="s">
        <v>737</v>
      </c>
      <c r="C172" s="1">
        <v>18404639000106</v>
      </c>
      <c r="D172" t="s">
        <v>738</v>
      </c>
      <c r="E172" t="s">
        <v>722</v>
      </c>
      <c r="F172" t="s">
        <v>6</v>
      </c>
      <c r="G172">
        <v>66825020</v>
      </c>
      <c r="H172" t="s">
        <v>739</v>
      </c>
      <c r="I172" t="s">
        <v>740</v>
      </c>
      <c r="J172" t="s">
        <v>56</v>
      </c>
      <c r="K172">
        <v>12</v>
      </c>
      <c r="L172">
        <v>30</v>
      </c>
      <c r="M172">
        <v>2034</v>
      </c>
      <c r="N172" t="s">
        <v>47</v>
      </c>
      <c r="O172" s="5">
        <f>DATE(Tabela1[[#This Row],[vigencia ano]],Tabela1[[#This Row],[vigencia mês]],Tabela1[[#This Row],[vigencia dia]])</f>
        <v>49838</v>
      </c>
    </row>
    <row r="173" spans="1:15" x14ac:dyDescent="0.25">
      <c r="A173" t="s">
        <v>41</v>
      </c>
      <c r="B173" t="s">
        <v>741</v>
      </c>
      <c r="C173" s="1">
        <v>8851807000140</v>
      </c>
      <c r="D173" t="s">
        <v>742</v>
      </c>
      <c r="E173" t="s">
        <v>722</v>
      </c>
      <c r="F173" t="s">
        <v>6</v>
      </c>
      <c r="G173">
        <v>66087810</v>
      </c>
      <c r="H173" t="s">
        <v>743</v>
      </c>
      <c r="I173" t="s">
        <v>744</v>
      </c>
      <c r="J173" t="s">
        <v>56</v>
      </c>
      <c r="K173">
        <v>2</v>
      </c>
      <c r="L173">
        <v>20</v>
      </c>
      <c r="M173">
        <v>2024</v>
      </c>
      <c r="N173" t="s">
        <v>47</v>
      </c>
      <c r="O173" s="5">
        <f>DATE(Tabela1[[#This Row],[vigencia ano]],Tabela1[[#This Row],[vigencia mês]],Tabela1[[#This Row],[vigencia dia]])</f>
        <v>45871</v>
      </c>
    </row>
    <row r="174" spans="1:15" x14ac:dyDescent="0.25">
      <c r="A174" t="s">
        <v>41</v>
      </c>
      <c r="B174" t="s">
        <v>745</v>
      </c>
      <c r="C174" s="1">
        <v>5442439000198</v>
      </c>
      <c r="D174" t="s">
        <v>746</v>
      </c>
      <c r="E174" t="s">
        <v>722</v>
      </c>
      <c r="F174" t="s">
        <v>6</v>
      </c>
      <c r="G174">
        <v>66115000</v>
      </c>
      <c r="H174" t="s">
        <v>747</v>
      </c>
      <c r="I174" t="s">
        <v>748</v>
      </c>
      <c r="J174" t="s">
        <v>46</v>
      </c>
      <c r="K174">
        <v>11</v>
      </c>
      <c r="L174">
        <v>28</v>
      </c>
      <c r="M174">
        <v>2026</v>
      </c>
      <c r="N174" t="s">
        <v>47</v>
      </c>
      <c r="O174" s="5">
        <f>DATE(Tabela1[[#This Row],[vigencia ano]],Tabela1[[#This Row],[vigencia mês]],Tabela1[[#This Row],[vigencia dia]])</f>
        <v>46854</v>
      </c>
    </row>
    <row r="175" spans="1:15" x14ac:dyDescent="0.25">
      <c r="A175" t="s">
        <v>41</v>
      </c>
      <c r="B175" t="s">
        <v>749</v>
      </c>
      <c r="C175" s="1">
        <v>34889477000191</v>
      </c>
      <c r="D175" t="s">
        <v>750</v>
      </c>
      <c r="E175" t="s">
        <v>722</v>
      </c>
      <c r="F175" t="s">
        <v>6</v>
      </c>
      <c r="G175">
        <v>66813250</v>
      </c>
      <c r="H175" t="s">
        <v>751</v>
      </c>
      <c r="I175" t="s">
        <v>752</v>
      </c>
      <c r="J175" t="s">
        <v>46</v>
      </c>
      <c r="K175">
        <v>10</v>
      </c>
      <c r="L175">
        <v>8</v>
      </c>
      <c r="M175">
        <v>2025</v>
      </c>
      <c r="N175" t="s">
        <v>47</v>
      </c>
      <c r="O175" s="5">
        <f>DATE(Tabela1[[#This Row],[vigencia ano]],Tabela1[[#This Row],[vigencia mês]],Tabela1[[#This Row],[vigencia dia]])</f>
        <v>45879</v>
      </c>
    </row>
    <row r="176" spans="1:15" x14ac:dyDescent="0.25">
      <c r="A176" t="s">
        <v>41</v>
      </c>
      <c r="B176" t="s">
        <v>753</v>
      </c>
      <c r="C176" s="1">
        <v>19667688000196</v>
      </c>
      <c r="D176" t="s">
        <v>754</v>
      </c>
      <c r="E176" t="s">
        <v>722</v>
      </c>
      <c r="F176" t="s">
        <v>6</v>
      </c>
      <c r="G176">
        <v>66050350</v>
      </c>
      <c r="H176" t="s">
        <v>755</v>
      </c>
      <c r="I176" t="s">
        <v>756</v>
      </c>
      <c r="J176" t="s">
        <v>56</v>
      </c>
      <c r="K176">
        <v>5</v>
      </c>
      <c r="L176">
        <v>26</v>
      </c>
      <c r="M176">
        <v>2032</v>
      </c>
      <c r="N176" t="s">
        <v>47</v>
      </c>
      <c r="O176" s="5">
        <f>DATE(Tabela1[[#This Row],[vigencia ano]],Tabela1[[#This Row],[vigencia mês]],Tabela1[[#This Row],[vigencia dia]])</f>
        <v>48980</v>
      </c>
    </row>
    <row r="177" spans="1:15" x14ac:dyDescent="0.25">
      <c r="A177" t="s">
        <v>41</v>
      </c>
      <c r="B177" t="s">
        <v>757</v>
      </c>
      <c r="C177" s="1">
        <v>7026812000155</v>
      </c>
      <c r="D177" t="s">
        <v>758</v>
      </c>
      <c r="E177" t="s">
        <v>722</v>
      </c>
      <c r="F177" t="s">
        <v>6</v>
      </c>
      <c r="G177">
        <v>66083158</v>
      </c>
      <c r="H177" t="s">
        <v>759</v>
      </c>
      <c r="I177" t="s">
        <v>760</v>
      </c>
      <c r="J177" t="s">
        <v>56</v>
      </c>
      <c r="K177">
        <v>7</v>
      </c>
      <c r="L177">
        <v>1</v>
      </c>
      <c r="M177">
        <v>2026</v>
      </c>
      <c r="N177" t="s">
        <v>47</v>
      </c>
      <c r="O177" s="5">
        <f>DATE(Tabela1[[#This Row],[vigencia ano]],Tabela1[[#This Row],[vigencia mês]],Tabela1[[#This Row],[vigencia dia]])</f>
        <v>46029</v>
      </c>
    </row>
    <row r="178" spans="1:15" x14ac:dyDescent="0.25">
      <c r="A178" t="s">
        <v>41</v>
      </c>
      <c r="B178" t="s">
        <v>757</v>
      </c>
      <c r="C178" s="1">
        <v>7026812000155</v>
      </c>
      <c r="D178" t="s">
        <v>758</v>
      </c>
      <c r="E178" t="s">
        <v>722</v>
      </c>
      <c r="F178" t="s">
        <v>6</v>
      </c>
      <c r="G178">
        <v>66083158</v>
      </c>
      <c r="H178" t="s">
        <v>761</v>
      </c>
      <c r="I178" t="s">
        <v>760</v>
      </c>
      <c r="J178" t="s">
        <v>56</v>
      </c>
      <c r="K178">
        <v>7</v>
      </c>
      <c r="L178">
        <v>1</v>
      </c>
      <c r="M178">
        <v>2026</v>
      </c>
      <c r="N178" t="s">
        <v>47</v>
      </c>
      <c r="O178" s="5">
        <f>DATE(Tabela1[[#This Row],[vigencia ano]],Tabela1[[#This Row],[vigencia mês]],Tabela1[[#This Row],[vigencia dia]])</f>
        <v>46029</v>
      </c>
    </row>
    <row r="179" spans="1:15" x14ac:dyDescent="0.25">
      <c r="A179" t="s">
        <v>41</v>
      </c>
      <c r="B179" t="s">
        <v>762</v>
      </c>
      <c r="C179" s="1">
        <v>63859961000176</v>
      </c>
      <c r="D179" t="s">
        <v>763</v>
      </c>
      <c r="E179" t="s">
        <v>722</v>
      </c>
      <c r="F179" t="s">
        <v>6</v>
      </c>
      <c r="G179">
        <v>66045110</v>
      </c>
      <c r="H179" t="s">
        <v>764</v>
      </c>
      <c r="I179" t="s">
        <v>765</v>
      </c>
      <c r="J179" t="s">
        <v>46</v>
      </c>
      <c r="K179">
        <v>11</v>
      </c>
      <c r="L179">
        <v>14</v>
      </c>
      <c r="M179">
        <v>2023</v>
      </c>
      <c r="N179" t="s">
        <v>47</v>
      </c>
      <c r="O179" s="5">
        <f>DATE(Tabela1[[#This Row],[vigencia ano]],Tabela1[[#This Row],[vigencia mês]],Tabela1[[#This Row],[vigencia dia]])</f>
        <v>45333</v>
      </c>
    </row>
    <row r="180" spans="1:15" x14ac:dyDescent="0.25">
      <c r="A180" t="s">
        <v>41</v>
      </c>
      <c r="B180" t="s">
        <v>766</v>
      </c>
      <c r="C180" s="1">
        <v>2531528000112</v>
      </c>
      <c r="D180" t="s">
        <v>767</v>
      </c>
      <c r="E180" t="s">
        <v>722</v>
      </c>
      <c r="F180" t="s">
        <v>6</v>
      </c>
      <c r="G180">
        <v>66093005</v>
      </c>
      <c r="H180" t="s">
        <v>768</v>
      </c>
      <c r="I180" t="s">
        <v>769</v>
      </c>
      <c r="J180" t="s">
        <v>56</v>
      </c>
      <c r="K180">
        <v>5</v>
      </c>
      <c r="L180">
        <v>10</v>
      </c>
      <c r="M180">
        <v>2026</v>
      </c>
      <c r="N180" t="s">
        <v>47</v>
      </c>
      <c r="O180" s="5">
        <f>DATE(Tabela1[[#This Row],[vigencia ano]],Tabela1[[#This Row],[vigencia mês]],Tabela1[[#This Row],[vigencia dia]])</f>
        <v>46300</v>
      </c>
    </row>
    <row r="181" spans="1:15" x14ac:dyDescent="0.25">
      <c r="A181" t="s">
        <v>41</v>
      </c>
      <c r="B181" t="s">
        <v>770</v>
      </c>
      <c r="C181" s="1">
        <v>9295550000150</v>
      </c>
      <c r="D181" t="s">
        <v>771</v>
      </c>
      <c r="E181" t="s">
        <v>722</v>
      </c>
      <c r="F181" t="s">
        <v>6</v>
      </c>
      <c r="G181">
        <v>66093005</v>
      </c>
      <c r="H181" t="s">
        <v>772</v>
      </c>
      <c r="I181" t="s">
        <v>773</v>
      </c>
      <c r="J181" t="s">
        <v>56</v>
      </c>
      <c r="K181">
        <v>7</v>
      </c>
      <c r="L181">
        <v>20</v>
      </c>
      <c r="M181">
        <v>2026</v>
      </c>
      <c r="N181" t="s">
        <v>47</v>
      </c>
      <c r="O181" s="5">
        <f>DATE(Tabela1[[#This Row],[vigencia ano]],Tabela1[[#This Row],[vigencia mês]],Tabela1[[#This Row],[vigencia dia]])</f>
        <v>46606</v>
      </c>
    </row>
    <row r="182" spans="1:15" x14ac:dyDescent="0.25">
      <c r="A182" t="s">
        <v>41</v>
      </c>
      <c r="B182" t="s">
        <v>774</v>
      </c>
      <c r="C182" s="1">
        <v>83671602000106</v>
      </c>
      <c r="D182" t="s">
        <v>775</v>
      </c>
      <c r="E182" t="s">
        <v>722</v>
      </c>
      <c r="F182" t="s">
        <v>6</v>
      </c>
      <c r="G182">
        <v>66120310</v>
      </c>
      <c r="H182" t="s">
        <v>776</v>
      </c>
      <c r="I182" t="s">
        <v>777</v>
      </c>
      <c r="J182" t="s">
        <v>56</v>
      </c>
      <c r="K182">
        <v>9</v>
      </c>
      <c r="L182">
        <v>29</v>
      </c>
      <c r="M182">
        <v>2027</v>
      </c>
      <c r="N182" t="s">
        <v>47</v>
      </c>
      <c r="O182" s="5">
        <f>DATE(Tabela1[[#This Row],[vigencia ano]],Tabela1[[#This Row],[vigencia mês]],Tabela1[[#This Row],[vigencia dia]])</f>
        <v>47247</v>
      </c>
    </row>
    <row r="183" spans="1:15" x14ac:dyDescent="0.25">
      <c r="A183" t="s">
        <v>41</v>
      </c>
      <c r="B183" t="s">
        <v>778</v>
      </c>
      <c r="C183" s="1">
        <v>7702708000133</v>
      </c>
      <c r="D183" t="s">
        <v>779</v>
      </c>
      <c r="E183" t="s">
        <v>722</v>
      </c>
      <c r="F183" t="s">
        <v>6</v>
      </c>
      <c r="G183">
        <v>66825000</v>
      </c>
      <c r="H183" t="s">
        <v>780</v>
      </c>
      <c r="I183" t="s">
        <v>781</v>
      </c>
      <c r="J183" t="s">
        <v>56</v>
      </c>
      <c r="K183">
        <v>8</v>
      </c>
      <c r="L183">
        <v>5</v>
      </c>
      <c r="M183">
        <v>2030</v>
      </c>
      <c r="N183" t="s">
        <v>47</v>
      </c>
      <c r="O183" s="5">
        <f>DATE(Tabela1[[#This Row],[vigencia ano]],Tabela1[[#This Row],[vigencia mês]],Tabela1[[#This Row],[vigencia dia]])</f>
        <v>47611</v>
      </c>
    </row>
    <row r="184" spans="1:15" x14ac:dyDescent="0.25">
      <c r="A184" t="s">
        <v>41</v>
      </c>
      <c r="B184" t="s">
        <v>782</v>
      </c>
      <c r="C184" s="1">
        <v>13861254000146</v>
      </c>
      <c r="D184" t="s">
        <v>783</v>
      </c>
      <c r="E184" t="s">
        <v>722</v>
      </c>
      <c r="F184" t="s">
        <v>6</v>
      </c>
      <c r="G184">
        <v>66813250</v>
      </c>
      <c r="H184" t="s">
        <v>784</v>
      </c>
      <c r="I184" t="s">
        <v>785</v>
      </c>
      <c r="J184" t="s">
        <v>56</v>
      </c>
      <c r="K184">
        <v>8</v>
      </c>
      <c r="L184">
        <v>12</v>
      </c>
      <c r="M184">
        <v>2032</v>
      </c>
      <c r="N184" t="s">
        <v>47</v>
      </c>
      <c r="O184" s="5">
        <f>DATE(Tabela1[[#This Row],[vigencia ano]],Tabela1[[#This Row],[vigencia mês]],Tabela1[[#This Row],[vigencia dia]])</f>
        <v>48556</v>
      </c>
    </row>
    <row r="185" spans="1:15" x14ac:dyDescent="0.25">
      <c r="A185" t="s">
        <v>41</v>
      </c>
      <c r="B185" t="s">
        <v>786</v>
      </c>
      <c r="C185" s="1">
        <v>28205654000170</v>
      </c>
      <c r="D185" t="s">
        <v>787</v>
      </c>
      <c r="E185" t="s">
        <v>722</v>
      </c>
      <c r="F185" t="s">
        <v>6</v>
      </c>
      <c r="G185">
        <v>66033192</v>
      </c>
      <c r="H185" t="s">
        <v>788</v>
      </c>
      <c r="I185" t="s">
        <v>789</v>
      </c>
      <c r="J185" t="s">
        <v>56</v>
      </c>
      <c r="K185">
        <v>8</v>
      </c>
      <c r="L185">
        <v>22</v>
      </c>
      <c r="M185">
        <v>2027</v>
      </c>
      <c r="N185" t="s">
        <v>47</v>
      </c>
      <c r="O185" s="5">
        <f>DATE(Tabela1[[#This Row],[vigencia ano]],Tabela1[[#This Row],[vigencia mês]],Tabela1[[#This Row],[vigencia dia]])</f>
        <v>47034</v>
      </c>
    </row>
    <row r="186" spans="1:15" x14ac:dyDescent="0.25">
      <c r="A186" t="s">
        <v>41</v>
      </c>
      <c r="B186" t="s">
        <v>790</v>
      </c>
      <c r="C186" s="1">
        <v>14494538000104</v>
      </c>
      <c r="D186" t="s">
        <v>791</v>
      </c>
      <c r="E186" t="s">
        <v>722</v>
      </c>
      <c r="F186" t="s">
        <v>6</v>
      </c>
      <c r="G186">
        <v>66815140</v>
      </c>
      <c r="H186" t="s">
        <v>792</v>
      </c>
      <c r="I186" t="s">
        <v>793</v>
      </c>
      <c r="J186" t="s">
        <v>46</v>
      </c>
      <c r="K186">
        <v>3</v>
      </c>
      <c r="L186">
        <v>1</v>
      </c>
      <c r="M186">
        <v>2023</v>
      </c>
      <c r="N186" t="s">
        <v>47</v>
      </c>
      <c r="O186" s="5">
        <f>DATE(Tabela1[[#This Row],[vigencia ano]],Tabela1[[#This Row],[vigencia mês]],Tabela1[[#This Row],[vigencia dia]])</f>
        <v>44929</v>
      </c>
    </row>
    <row r="187" spans="1:15" x14ac:dyDescent="0.25">
      <c r="A187" t="s">
        <v>41</v>
      </c>
      <c r="B187" t="s">
        <v>794</v>
      </c>
      <c r="C187" s="1">
        <v>83346932000118</v>
      </c>
      <c r="D187" t="s">
        <v>795</v>
      </c>
      <c r="E187" t="s">
        <v>722</v>
      </c>
      <c r="F187" t="s">
        <v>6</v>
      </c>
      <c r="G187">
        <v>66813250</v>
      </c>
      <c r="H187" t="s">
        <v>751</v>
      </c>
      <c r="I187" t="s">
        <v>796</v>
      </c>
      <c r="J187" t="s">
        <v>56</v>
      </c>
      <c r="K187">
        <v>2</v>
      </c>
      <c r="L187">
        <v>20</v>
      </c>
      <c r="M187">
        <v>2024</v>
      </c>
      <c r="N187" t="s">
        <v>47</v>
      </c>
      <c r="O187" s="5">
        <f>DATE(Tabela1[[#This Row],[vigencia ano]],Tabela1[[#This Row],[vigencia mês]],Tabela1[[#This Row],[vigencia dia]])</f>
        <v>45871</v>
      </c>
    </row>
    <row r="188" spans="1:15" x14ac:dyDescent="0.25">
      <c r="A188" t="s">
        <v>41</v>
      </c>
      <c r="B188" t="s">
        <v>797</v>
      </c>
      <c r="C188" s="1">
        <v>53542601000192</v>
      </c>
      <c r="D188" t="s">
        <v>798</v>
      </c>
      <c r="E188" t="s">
        <v>722</v>
      </c>
      <c r="F188" t="s">
        <v>6</v>
      </c>
      <c r="G188">
        <v>66050400</v>
      </c>
      <c r="H188" t="s">
        <v>799</v>
      </c>
      <c r="I188" t="s">
        <v>800</v>
      </c>
      <c r="J188" t="s">
        <v>56</v>
      </c>
      <c r="K188">
        <v>3</v>
      </c>
      <c r="L188">
        <v>11</v>
      </c>
      <c r="M188">
        <v>2019</v>
      </c>
      <c r="N188" t="s">
        <v>47</v>
      </c>
      <c r="O188" s="5">
        <f>DATE(Tabela1[[#This Row],[vigencia ano]],Tabela1[[#This Row],[vigencia mês]],Tabela1[[#This Row],[vigencia dia]])</f>
        <v>43772</v>
      </c>
    </row>
    <row r="189" spans="1:15" x14ac:dyDescent="0.25">
      <c r="A189" t="s">
        <v>41</v>
      </c>
      <c r="B189" t="s">
        <v>801</v>
      </c>
      <c r="C189" s="1">
        <v>19255079000120</v>
      </c>
      <c r="D189" t="s">
        <v>802</v>
      </c>
      <c r="E189" t="s">
        <v>722</v>
      </c>
      <c r="F189" t="s">
        <v>6</v>
      </c>
      <c r="G189">
        <v>66617130</v>
      </c>
      <c r="H189" t="s">
        <v>803</v>
      </c>
      <c r="I189" t="s">
        <v>804</v>
      </c>
      <c r="J189" t="s">
        <v>56</v>
      </c>
      <c r="K189">
        <v>1</v>
      </c>
      <c r="L189">
        <v>24</v>
      </c>
      <c r="M189">
        <v>2024</v>
      </c>
      <c r="N189" t="s">
        <v>47</v>
      </c>
      <c r="O189" s="5">
        <f>DATE(Tabela1[[#This Row],[vigencia ano]],Tabela1[[#This Row],[vigencia mês]],Tabela1[[#This Row],[vigencia dia]])</f>
        <v>45992</v>
      </c>
    </row>
    <row r="190" spans="1:15" x14ac:dyDescent="0.25">
      <c r="A190" t="s">
        <v>41</v>
      </c>
      <c r="B190" t="s">
        <v>805</v>
      </c>
      <c r="C190" s="1">
        <v>3419290000109</v>
      </c>
      <c r="D190" t="s">
        <v>806</v>
      </c>
      <c r="E190" t="s">
        <v>722</v>
      </c>
      <c r="F190" t="s">
        <v>6</v>
      </c>
      <c r="G190">
        <v>66815520</v>
      </c>
      <c r="H190" t="s">
        <v>807</v>
      </c>
      <c r="I190" t="s">
        <v>808</v>
      </c>
      <c r="J190" t="s">
        <v>56</v>
      </c>
      <c r="K190">
        <v>1</v>
      </c>
      <c r="L190">
        <v>18</v>
      </c>
      <c r="M190">
        <v>2031</v>
      </c>
      <c r="N190" t="s">
        <v>47</v>
      </c>
      <c r="O190" s="5">
        <f>DATE(Tabela1[[#This Row],[vigencia ano]],Tabela1[[#This Row],[vigencia mês]],Tabela1[[#This Row],[vigencia dia]])</f>
        <v>48366</v>
      </c>
    </row>
    <row r="191" spans="1:15" x14ac:dyDescent="0.25">
      <c r="A191" t="s">
        <v>41</v>
      </c>
      <c r="B191" t="s">
        <v>809</v>
      </c>
      <c r="C191" s="1">
        <v>5573324000132</v>
      </c>
      <c r="D191" t="s">
        <v>810</v>
      </c>
      <c r="E191" t="s">
        <v>722</v>
      </c>
      <c r="F191" t="s">
        <v>6</v>
      </c>
      <c r="G191">
        <v>66240000</v>
      </c>
      <c r="H191" t="s">
        <v>811</v>
      </c>
      <c r="I191" t="s">
        <v>812</v>
      </c>
      <c r="J191" t="s">
        <v>56</v>
      </c>
      <c r="K191">
        <v>5</v>
      </c>
      <c r="L191">
        <v>11</v>
      </c>
      <c r="M191">
        <v>2021</v>
      </c>
      <c r="N191" t="s">
        <v>47</v>
      </c>
      <c r="O191" s="5">
        <f>DATE(Tabela1[[#This Row],[vigencia ano]],Tabela1[[#This Row],[vigencia mês]],Tabela1[[#This Row],[vigencia dia]])</f>
        <v>44505</v>
      </c>
    </row>
    <row r="192" spans="1:15" x14ac:dyDescent="0.25">
      <c r="A192" t="s">
        <v>41</v>
      </c>
      <c r="B192" t="s">
        <v>813</v>
      </c>
      <c r="C192" s="1">
        <v>4872156000113</v>
      </c>
      <c r="D192" t="s">
        <v>814</v>
      </c>
      <c r="E192" t="s">
        <v>722</v>
      </c>
      <c r="F192" t="s">
        <v>6</v>
      </c>
      <c r="G192">
        <v>66050400</v>
      </c>
      <c r="H192" t="s">
        <v>815</v>
      </c>
      <c r="I192" t="s">
        <v>816</v>
      </c>
      <c r="J192" t="s">
        <v>56</v>
      </c>
      <c r="K192">
        <v>9</v>
      </c>
      <c r="L192">
        <v>19</v>
      </c>
      <c r="M192">
        <v>2023</v>
      </c>
      <c r="N192" t="s">
        <v>47</v>
      </c>
      <c r="O192" s="5">
        <f>DATE(Tabela1[[#This Row],[vigencia ano]],Tabela1[[#This Row],[vigencia mês]],Tabela1[[#This Row],[vigencia dia]])</f>
        <v>45482</v>
      </c>
    </row>
    <row r="193" spans="1:15" x14ac:dyDescent="0.25">
      <c r="A193" t="s">
        <v>41</v>
      </c>
      <c r="B193" t="s">
        <v>817</v>
      </c>
      <c r="C193" s="1">
        <v>14545655000150</v>
      </c>
      <c r="D193" t="s">
        <v>818</v>
      </c>
      <c r="E193" t="s">
        <v>722</v>
      </c>
      <c r="F193" t="s">
        <v>6</v>
      </c>
      <c r="G193">
        <v>66650550</v>
      </c>
      <c r="H193" t="s">
        <v>819</v>
      </c>
      <c r="I193" t="s">
        <v>820</v>
      </c>
      <c r="J193" t="s">
        <v>56</v>
      </c>
      <c r="K193">
        <v>2</v>
      </c>
      <c r="L193">
        <v>4</v>
      </c>
      <c r="M193">
        <v>2024</v>
      </c>
      <c r="N193" t="s">
        <v>47</v>
      </c>
      <c r="O193" s="5">
        <f>DATE(Tabela1[[#This Row],[vigencia ano]],Tabela1[[#This Row],[vigencia mês]],Tabela1[[#This Row],[vigencia dia]])</f>
        <v>45384</v>
      </c>
    </row>
    <row r="194" spans="1:15" x14ac:dyDescent="0.25">
      <c r="A194" t="s">
        <v>41</v>
      </c>
      <c r="B194" t="s">
        <v>821</v>
      </c>
      <c r="C194" s="1">
        <v>20601574000122</v>
      </c>
      <c r="D194" t="s">
        <v>822</v>
      </c>
      <c r="E194" t="s">
        <v>722</v>
      </c>
      <c r="F194" t="s">
        <v>6</v>
      </c>
      <c r="G194">
        <v>66045225</v>
      </c>
      <c r="H194" t="s">
        <v>823</v>
      </c>
      <c r="I194" t="s">
        <v>824</v>
      </c>
      <c r="J194" t="s">
        <v>56</v>
      </c>
      <c r="K194">
        <v>5</v>
      </c>
      <c r="L194">
        <v>26</v>
      </c>
      <c r="M194">
        <v>2036</v>
      </c>
      <c r="N194" t="s">
        <v>825</v>
      </c>
      <c r="O194" s="5">
        <f>DATE(Tabela1[[#This Row],[vigencia ano]],Tabela1[[#This Row],[vigencia mês]],Tabela1[[#This Row],[vigencia dia]])</f>
        <v>50441</v>
      </c>
    </row>
    <row r="195" spans="1:15" x14ac:dyDescent="0.25">
      <c r="A195" t="s">
        <v>41</v>
      </c>
      <c r="B195" t="s">
        <v>821</v>
      </c>
      <c r="C195" s="1">
        <v>20601574000122</v>
      </c>
      <c r="D195" t="s">
        <v>822</v>
      </c>
      <c r="E195" t="s">
        <v>722</v>
      </c>
      <c r="F195" t="s">
        <v>6</v>
      </c>
      <c r="G195">
        <v>66045225</v>
      </c>
      <c r="H195" t="s">
        <v>826</v>
      </c>
      <c r="I195" t="s">
        <v>824</v>
      </c>
      <c r="J195" t="s">
        <v>56</v>
      </c>
      <c r="K195">
        <v>5</v>
      </c>
      <c r="L195">
        <v>26</v>
      </c>
      <c r="M195">
        <v>2036</v>
      </c>
      <c r="N195" t="s">
        <v>825</v>
      </c>
      <c r="O195" s="5">
        <f>DATE(Tabela1[[#This Row],[vigencia ano]],Tabela1[[#This Row],[vigencia mês]],Tabela1[[#This Row],[vigencia dia]])</f>
        <v>50441</v>
      </c>
    </row>
    <row r="196" spans="1:15" x14ac:dyDescent="0.25">
      <c r="A196" t="s">
        <v>41</v>
      </c>
      <c r="B196" t="s">
        <v>827</v>
      </c>
      <c r="C196" s="1">
        <v>34931097000178</v>
      </c>
      <c r="D196" t="s">
        <v>828</v>
      </c>
      <c r="E196" t="s">
        <v>722</v>
      </c>
      <c r="F196" t="s">
        <v>6</v>
      </c>
      <c r="G196">
        <v>66813250</v>
      </c>
      <c r="H196" t="s">
        <v>829</v>
      </c>
      <c r="I196" t="s">
        <v>830</v>
      </c>
      <c r="J196" t="s">
        <v>56</v>
      </c>
      <c r="K196">
        <v>12</v>
      </c>
      <c r="L196">
        <v>23</v>
      </c>
      <c r="M196">
        <v>2024</v>
      </c>
      <c r="N196" t="s">
        <v>47</v>
      </c>
      <c r="O196" s="5">
        <f>DATE(Tabela1[[#This Row],[vigencia ano]],Tabela1[[#This Row],[vigencia mês]],Tabela1[[#This Row],[vigencia dia]])</f>
        <v>45973</v>
      </c>
    </row>
    <row r="197" spans="1:15" x14ac:dyDescent="0.25">
      <c r="A197" t="s">
        <v>41</v>
      </c>
      <c r="B197" t="s">
        <v>831</v>
      </c>
      <c r="C197" s="1">
        <v>59928082000181</v>
      </c>
      <c r="D197" t="s">
        <v>832</v>
      </c>
      <c r="E197" t="s">
        <v>722</v>
      </c>
      <c r="F197" t="s">
        <v>6</v>
      </c>
      <c r="G197">
        <v>66120310</v>
      </c>
      <c r="H197" t="s">
        <v>833</v>
      </c>
      <c r="I197" t="s">
        <v>834</v>
      </c>
      <c r="J197" t="s">
        <v>56</v>
      </c>
      <c r="K197">
        <v>5</v>
      </c>
      <c r="L197">
        <v>26</v>
      </c>
      <c r="M197">
        <v>2036</v>
      </c>
      <c r="N197" t="s">
        <v>835</v>
      </c>
      <c r="O197" s="5">
        <f>DATE(Tabela1[[#This Row],[vigencia ano]],Tabela1[[#This Row],[vigencia mês]],Tabela1[[#This Row],[vigencia dia]])</f>
        <v>50441</v>
      </c>
    </row>
    <row r="198" spans="1:15" x14ac:dyDescent="0.25">
      <c r="A198" t="s">
        <v>41</v>
      </c>
      <c r="B198" t="s">
        <v>836</v>
      </c>
      <c r="C198" s="1">
        <v>3415854000127</v>
      </c>
      <c r="D198" t="s">
        <v>837</v>
      </c>
      <c r="E198" t="s">
        <v>838</v>
      </c>
      <c r="F198" t="s">
        <v>6</v>
      </c>
      <c r="G198">
        <v>68795000</v>
      </c>
      <c r="H198" t="s">
        <v>839</v>
      </c>
      <c r="I198" t="s">
        <v>840</v>
      </c>
      <c r="J198" t="s">
        <v>56</v>
      </c>
      <c r="K198">
        <v>12</v>
      </c>
      <c r="L198">
        <v>16</v>
      </c>
      <c r="M198">
        <v>2026</v>
      </c>
      <c r="N198" t="s">
        <v>47</v>
      </c>
      <c r="O198" s="5">
        <f>DATE(Tabela1[[#This Row],[vigencia ano]],Tabela1[[#This Row],[vigencia mês]],Tabela1[[#This Row],[vigencia dia]])</f>
        <v>46489</v>
      </c>
    </row>
    <row r="199" spans="1:15" x14ac:dyDescent="0.25">
      <c r="A199" t="s">
        <v>41</v>
      </c>
      <c r="B199" t="s">
        <v>841</v>
      </c>
      <c r="C199" s="1">
        <v>83325670000105</v>
      </c>
      <c r="D199" t="s">
        <v>842</v>
      </c>
      <c r="E199" t="s">
        <v>838</v>
      </c>
      <c r="F199" t="s">
        <v>6</v>
      </c>
      <c r="G199">
        <v>68795000</v>
      </c>
      <c r="H199" t="s">
        <v>839</v>
      </c>
      <c r="I199" t="s">
        <v>843</v>
      </c>
      <c r="J199" t="s">
        <v>46</v>
      </c>
      <c r="K199">
        <v>2</v>
      </c>
      <c r="L199">
        <v>4</v>
      </c>
      <c r="M199">
        <v>2025</v>
      </c>
      <c r="N199" t="s">
        <v>47</v>
      </c>
      <c r="O199" s="5">
        <f>DATE(Tabela1[[#This Row],[vigencia ano]],Tabela1[[#This Row],[vigencia mês]],Tabela1[[#This Row],[vigencia dia]])</f>
        <v>45749</v>
      </c>
    </row>
    <row r="200" spans="1:15" x14ac:dyDescent="0.25">
      <c r="A200" t="s">
        <v>41</v>
      </c>
      <c r="B200" t="s">
        <v>844</v>
      </c>
      <c r="C200" s="1">
        <v>5911869000101</v>
      </c>
      <c r="D200" t="s">
        <v>845</v>
      </c>
      <c r="E200" t="s">
        <v>838</v>
      </c>
      <c r="F200" t="s">
        <v>6</v>
      </c>
      <c r="G200">
        <v>68795000</v>
      </c>
      <c r="H200" t="s">
        <v>846</v>
      </c>
      <c r="I200" t="s">
        <v>847</v>
      </c>
      <c r="J200" t="s">
        <v>56</v>
      </c>
      <c r="K200">
        <v>1</v>
      </c>
      <c r="L200">
        <v>17</v>
      </c>
      <c r="M200">
        <v>2034</v>
      </c>
      <c r="N200" t="s">
        <v>47</v>
      </c>
      <c r="O200" s="5">
        <f>DATE(Tabela1[[#This Row],[vigencia ano]],Tabela1[[#This Row],[vigencia mês]],Tabela1[[#This Row],[vigencia dia]])</f>
        <v>49430</v>
      </c>
    </row>
    <row r="201" spans="1:15" x14ac:dyDescent="0.25">
      <c r="A201" t="s">
        <v>41</v>
      </c>
      <c r="B201" t="s">
        <v>848</v>
      </c>
      <c r="C201" s="1">
        <v>9230232000100</v>
      </c>
      <c r="D201" t="s">
        <v>849</v>
      </c>
      <c r="E201" t="s">
        <v>838</v>
      </c>
      <c r="F201" t="s">
        <v>6</v>
      </c>
      <c r="G201">
        <v>68795000</v>
      </c>
      <c r="H201" t="s">
        <v>850</v>
      </c>
      <c r="I201" t="s">
        <v>851</v>
      </c>
      <c r="J201" t="s">
        <v>56</v>
      </c>
      <c r="K201">
        <v>7</v>
      </c>
      <c r="L201">
        <v>10</v>
      </c>
      <c r="M201">
        <v>2029</v>
      </c>
      <c r="N201" t="s">
        <v>47</v>
      </c>
      <c r="O201" s="5">
        <f>DATE(Tabela1[[#This Row],[vigencia ano]],Tabela1[[#This Row],[vigencia mês]],Tabela1[[#This Row],[vigencia dia]])</f>
        <v>47398</v>
      </c>
    </row>
    <row r="202" spans="1:15" x14ac:dyDescent="0.25">
      <c r="A202" t="s">
        <v>41</v>
      </c>
      <c r="B202" t="s">
        <v>852</v>
      </c>
      <c r="C202" s="1">
        <v>42734113000160</v>
      </c>
      <c r="D202" t="s">
        <v>853</v>
      </c>
      <c r="E202" t="s">
        <v>838</v>
      </c>
      <c r="F202" t="s">
        <v>6</v>
      </c>
      <c r="G202">
        <v>68795000</v>
      </c>
      <c r="H202" t="s">
        <v>854</v>
      </c>
      <c r="I202" t="s">
        <v>855</v>
      </c>
      <c r="J202" t="s">
        <v>56</v>
      </c>
      <c r="K202">
        <v>11</v>
      </c>
      <c r="L202">
        <v>23</v>
      </c>
      <c r="M202">
        <v>2031</v>
      </c>
      <c r="N202" t="s">
        <v>47</v>
      </c>
      <c r="O202" s="5">
        <f>DATE(Tabela1[[#This Row],[vigencia ano]],Tabela1[[#This Row],[vigencia mês]],Tabela1[[#This Row],[vigencia dia]])</f>
        <v>48529</v>
      </c>
    </row>
    <row r="203" spans="1:15" x14ac:dyDescent="0.25">
      <c r="A203" t="s">
        <v>41</v>
      </c>
      <c r="B203" t="s">
        <v>856</v>
      </c>
      <c r="C203" s="1">
        <v>24711550000187</v>
      </c>
      <c r="D203" t="s">
        <v>857</v>
      </c>
      <c r="E203" t="s">
        <v>858</v>
      </c>
      <c r="F203" t="s">
        <v>6</v>
      </c>
      <c r="G203">
        <v>68600000</v>
      </c>
      <c r="H203" t="s">
        <v>859</v>
      </c>
      <c r="I203" t="s">
        <v>860</v>
      </c>
      <c r="J203" t="s">
        <v>56</v>
      </c>
      <c r="K203">
        <v>7</v>
      </c>
      <c r="L203">
        <v>22</v>
      </c>
      <c r="M203">
        <v>2026</v>
      </c>
      <c r="N203" t="s">
        <v>47</v>
      </c>
      <c r="O203" s="5">
        <f>DATE(Tabela1[[#This Row],[vigencia ano]],Tabela1[[#This Row],[vigencia mês]],Tabela1[[#This Row],[vigencia dia]])</f>
        <v>46667</v>
      </c>
    </row>
    <row r="204" spans="1:15" x14ac:dyDescent="0.25">
      <c r="A204" t="s">
        <v>41</v>
      </c>
      <c r="B204" t="s">
        <v>861</v>
      </c>
      <c r="C204" s="1">
        <v>4051084000143</v>
      </c>
      <c r="D204" t="s">
        <v>862</v>
      </c>
      <c r="E204" t="s">
        <v>863</v>
      </c>
      <c r="F204" t="s">
        <v>6</v>
      </c>
      <c r="G204">
        <v>68741000</v>
      </c>
      <c r="H204" t="s">
        <v>864</v>
      </c>
      <c r="I204" t="s">
        <v>865</v>
      </c>
      <c r="J204" t="s">
        <v>56</v>
      </c>
      <c r="K204">
        <v>9</v>
      </c>
      <c r="L204">
        <v>5</v>
      </c>
      <c r="M204">
        <v>2022</v>
      </c>
      <c r="N204" t="s">
        <v>47</v>
      </c>
      <c r="O204" s="5">
        <f>DATE(Tabela1[[#This Row],[vigencia ano]],Tabela1[[#This Row],[vigencia mês]],Tabela1[[#This Row],[vigencia dia]])</f>
        <v>44690</v>
      </c>
    </row>
    <row r="205" spans="1:15" x14ac:dyDescent="0.25">
      <c r="A205" t="s">
        <v>41</v>
      </c>
      <c r="B205" t="s">
        <v>866</v>
      </c>
      <c r="C205" s="1">
        <v>45563971000188</v>
      </c>
      <c r="D205" t="s">
        <v>867</v>
      </c>
      <c r="E205" t="s">
        <v>863</v>
      </c>
      <c r="F205" t="s">
        <v>6</v>
      </c>
      <c r="G205">
        <v>68740120</v>
      </c>
      <c r="H205" t="s">
        <v>868</v>
      </c>
      <c r="I205" t="s">
        <v>869</v>
      </c>
      <c r="J205" t="s">
        <v>56</v>
      </c>
      <c r="K205">
        <v>7</v>
      </c>
      <c r="L205">
        <v>7</v>
      </c>
      <c r="M205">
        <v>2032</v>
      </c>
      <c r="N205" t="s">
        <v>47</v>
      </c>
      <c r="O205" s="5">
        <f>DATE(Tabela1[[#This Row],[vigencia ano]],Tabela1[[#This Row],[vigencia mês]],Tabela1[[#This Row],[vigencia dia]])</f>
        <v>48402</v>
      </c>
    </row>
    <row r="206" spans="1:15" x14ac:dyDescent="0.25">
      <c r="A206" t="s">
        <v>41</v>
      </c>
      <c r="B206" t="s">
        <v>870</v>
      </c>
      <c r="C206" s="1">
        <v>7919228000129</v>
      </c>
      <c r="D206" t="s">
        <v>871</v>
      </c>
      <c r="E206" t="s">
        <v>863</v>
      </c>
      <c r="F206" t="s">
        <v>6</v>
      </c>
      <c r="G206">
        <v>66743040</v>
      </c>
      <c r="H206" t="s">
        <v>872</v>
      </c>
      <c r="I206" t="s">
        <v>873</v>
      </c>
      <c r="J206" t="s">
        <v>56</v>
      </c>
      <c r="K206">
        <v>7</v>
      </c>
      <c r="L206">
        <v>20</v>
      </c>
      <c r="M206">
        <v>2026</v>
      </c>
      <c r="N206" t="s">
        <v>47</v>
      </c>
      <c r="O206" s="5">
        <f>DATE(Tabela1[[#This Row],[vigencia ano]],Tabela1[[#This Row],[vigencia mês]],Tabela1[[#This Row],[vigencia dia]])</f>
        <v>46606</v>
      </c>
    </row>
    <row r="207" spans="1:15" x14ac:dyDescent="0.25">
      <c r="A207" t="s">
        <v>41</v>
      </c>
      <c r="B207" t="s">
        <v>874</v>
      </c>
      <c r="C207" s="1">
        <v>42899374000130</v>
      </c>
      <c r="D207" t="s">
        <v>875</v>
      </c>
      <c r="E207" t="s">
        <v>876</v>
      </c>
      <c r="F207" t="s">
        <v>6</v>
      </c>
      <c r="G207">
        <v>68180460</v>
      </c>
      <c r="H207" t="s">
        <v>877</v>
      </c>
      <c r="I207" t="s">
        <v>878</v>
      </c>
      <c r="J207" t="s">
        <v>56</v>
      </c>
      <c r="K207">
        <v>3</v>
      </c>
      <c r="L207">
        <v>13</v>
      </c>
      <c r="M207">
        <v>2033</v>
      </c>
      <c r="N207" t="s">
        <v>47</v>
      </c>
      <c r="O207" s="5">
        <f>DATE(Tabela1[[#This Row],[vigencia ano]],Tabela1[[#This Row],[vigencia mês]],Tabela1[[#This Row],[vigencia dia]])</f>
        <v>48947</v>
      </c>
    </row>
    <row r="208" spans="1:15" x14ac:dyDescent="0.25">
      <c r="A208" t="s">
        <v>41</v>
      </c>
      <c r="B208" t="s">
        <v>879</v>
      </c>
      <c r="C208" s="1">
        <v>10447760000103</v>
      </c>
      <c r="D208" t="s">
        <v>880</v>
      </c>
      <c r="E208" t="s">
        <v>876</v>
      </c>
      <c r="F208" t="s">
        <v>6</v>
      </c>
      <c r="G208">
        <v>68180380</v>
      </c>
      <c r="H208" t="s">
        <v>881</v>
      </c>
      <c r="I208" t="s">
        <v>882</v>
      </c>
      <c r="J208" t="s">
        <v>56</v>
      </c>
      <c r="K208">
        <v>3</v>
      </c>
      <c r="L208">
        <v>22</v>
      </c>
      <c r="M208">
        <v>2033</v>
      </c>
      <c r="N208" t="s">
        <v>47</v>
      </c>
      <c r="O208" s="5">
        <f>DATE(Tabela1[[#This Row],[vigencia ano]],Tabela1[[#This Row],[vigencia mês]],Tabela1[[#This Row],[vigencia dia]])</f>
        <v>49220</v>
      </c>
    </row>
    <row r="209" spans="1:15" x14ac:dyDescent="0.25">
      <c r="A209" t="s">
        <v>41</v>
      </c>
      <c r="B209" t="s">
        <v>883</v>
      </c>
      <c r="C209" s="1">
        <v>10266214000168</v>
      </c>
      <c r="D209" t="s">
        <v>884</v>
      </c>
      <c r="E209" t="s">
        <v>885</v>
      </c>
      <c r="F209" t="s">
        <v>6</v>
      </c>
      <c r="G209">
        <v>68507445</v>
      </c>
      <c r="H209" t="s">
        <v>886</v>
      </c>
      <c r="I209" t="s">
        <v>887</v>
      </c>
      <c r="J209" t="s">
        <v>56</v>
      </c>
      <c r="K209">
        <v>8</v>
      </c>
      <c r="L209">
        <v>5</v>
      </c>
      <c r="M209">
        <v>2030</v>
      </c>
      <c r="N209" t="s">
        <v>47</v>
      </c>
      <c r="O209" s="5">
        <f>DATE(Tabela1[[#This Row],[vigencia ano]],Tabela1[[#This Row],[vigencia mês]],Tabela1[[#This Row],[vigencia dia]])</f>
        <v>47611</v>
      </c>
    </row>
    <row r="210" spans="1:15" x14ac:dyDescent="0.25">
      <c r="A210" t="s">
        <v>41</v>
      </c>
      <c r="B210" t="s">
        <v>888</v>
      </c>
      <c r="C210" s="1">
        <v>10889552000156</v>
      </c>
      <c r="D210" t="s">
        <v>889</v>
      </c>
      <c r="E210" t="s">
        <v>890</v>
      </c>
      <c r="F210" t="s">
        <v>6</v>
      </c>
      <c r="G210">
        <v>67202520</v>
      </c>
      <c r="H210" t="s">
        <v>891</v>
      </c>
      <c r="I210" t="s">
        <v>892</v>
      </c>
      <c r="J210" t="s">
        <v>56</v>
      </c>
      <c r="K210">
        <v>2</v>
      </c>
      <c r="L210">
        <v>18</v>
      </c>
      <c r="M210">
        <v>2035</v>
      </c>
      <c r="N210" t="s">
        <v>893</v>
      </c>
      <c r="O210" s="5">
        <f>DATE(Tabela1[[#This Row],[vigencia ano]],Tabela1[[#This Row],[vigencia mês]],Tabela1[[#This Row],[vigencia dia]])</f>
        <v>49828</v>
      </c>
    </row>
    <row r="211" spans="1:15" x14ac:dyDescent="0.25">
      <c r="A211" t="s">
        <v>41</v>
      </c>
      <c r="B211" t="s">
        <v>894</v>
      </c>
      <c r="C211" s="1">
        <v>30523189000168</v>
      </c>
      <c r="D211" t="s">
        <v>895</v>
      </c>
      <c r="E211" t="s">
        <v>896</v>
      </c>
      <c r="F211" t="s">
        <v>6</v>
      </c>
      <c r="G211">
        <v>68515000</v>
      </c>
      <c r="H211" t="s">
        <v>897</v>
      </c>
      <c r="I211" t="s">
        <v>898</v>
      </c>
      <c r="J211" t="s">
        <v>56</v>
      </c>
      <c r="K211">
        <v>3</v>
      </c>
      <c r="L211">
        <v>14</v>
      </c>
      <c r="M211">
        <v>2033</v>
      </c>
      <c r="N211" t="s">
        <v>47</v>
      </c>
      <c r="O211" s="5">
        <f>DATE(Tabela1[[#This Row],[vigencia ano]],Tabela1[[#This Row],[vigencia mês]],Tabela1[[#This Row],[vigencia dia]])</f>
        <v>48978</v>
      </c>
    </row>
    <row r="212" spans="1:15" x14ac:dyDescent="0.25">
      <c r="A212" t="s">
        <v>41</v>
      </c>
      <c r="B212" t="s">
        <v>899</v>
      </c>
      <c r="C212" s="1">
        <v>22921069000190</v>
      </c>
      <c r="D212" t="s">
        <v>900</v>
      </c>
      <c r="E212" t="s">
        <v>901</v>
      </c>
      <c r="F212" t="s">
        <v>6</v>
      </c>
      <c r="G212">
        <v>68005360</v>
      </c>
      <c r="H212" t="s">
        <v>902</v>
      </c>
      <c r="I212" t="s">
        <v>903</v>
      </c>
      <c r="J212" t="s">
        <v>56</v>
      </c>
      <c r="K212">
        <v>2</v>
      </c>
      <c r="L212">
        <v>15</v>
      </c>
      <c r="M212">
        <v>2032</v>
      </c>
      <c r="N212" t="s">
        <v>47</v>
      </c>
      <c r="O212" s="5">
        <f>DATE(Tabela1[[#This Row],[vigencia ano]],Tabela1[[#This Row],[vigencia mês]],Tabela1[[#This Row],[vigencia dia]])</f>
        <v>48640</v>
      </c>
    </row>
    <row r="213" spans="1:15" x14ac:dyDescent="0.25">
      <c r="A213" t="s">
        <v>41</v>
      </c>
      <c r="B213" t="s">
        <v>904</v>
      </c>
      <c r="C213" s="1">
        <v>14789807000160</v>
      </c>
      <c r="D213" t="s">
        <v>905</v>
      </c>
      <c r="E213" t="s">
        <v>906</v>
      </c>
      <c r="F213" t="s">
        <v>14</v>
      </c>
      <c r="G213">
        <v>68926000</v>
      </c>
      <c r="H213" t="s">
        <v>907</v>
      </c>
      <c r="I213" t="s">
        <v>908</v>
      </c>
      <c r="J213" t="s">
        <v>56</v>
      </c>
      <c r="K213">
        <v>11</v>
      </c>
      <c r="L213">
        <v>11</v>
      </c>
      <c r="M213">
        <v>2030</v>
      </c>
      <c r="N213" t="s">
        <v>47</v>
      </c>
      <c r="O213" s="5">
        <f>DATE(Tabela1[[#This Row],[vigencia ano]],Tabela1[[#This Row],[vigencia mês]],Tabela1[[#This Row],[vigencia dia]])</f>
        <v>47798</v>
      </c>
    </row>
    <row r="214" spans="1:15" x14ac:dyDescent="0.25">
      <c r="A214" t="s">
        <v>41</v>
      </c>
      <c r="B214" t="s">
        <v>909</v>
      </c>
      <c r="C214" s="1">
        <v>8848231000161</v>
      </c>
      <c r="D214" t="s">
        <v>910</v>
      </c>
      <c r="E214" t="s">
        <v>911</v>
      </c>
      <c r="F214" t="s">
        <v>15</v>
      </c>
      <c r="G214">
        <v>77064596</v>
      </c>
      <c r="H214" t="s">
        <v>912</v>
      </c>
      <c r="I214" t="s">
        <v>913</v>
      </c>
      <c r="J214" t="s">
        <v>56</v>
      </c>
      <c r="K214">
        <v>1</v>
      </c>
      <c r="L214">
        <v>21</v>
      </c>
      <c r="M214">
        <v>2029</v>
      </c>
      <c r="N214" t="s">
        <v>47</v>
      </c>
      <c r="O214" s="5">
        <f>DATE(Tabela1[[#This Row],[vigencia ano]],Tabela1[[#This Row],[vigencia mês]],Tabela1[[#This Row],[vigencia dia]])</f>
        <v>47727</v>
      </c>
    </row>
    <row r="215" spans="1:15" x14ac:dyDescent="0.25">
      <c r="A215" t="s">
        <v>41</v>
      </c>
      <c r="B215" t="s">
        <v>914</v>
      </c>
      <c r="C215" s="1">
        <v>10807984000170</v>
      </c>
      <c r="D215" t="s">
        <v>915</v>
      </c>
      <c r="E215" t="s">
        <v>911</v>
      </c>
      <c r="F215" t="s">
        <v>15</v>
      </c>
      <c r="G215">
        <v>77006030</v>
      </c>
      <c r="H215" t="s">
        <v>916</v>
      </c>
      <c r="I215" t="s">
        <v>917</v>
      </c>
      <c r="J215" t="s">
        <v>56</v>
      </c>
      <c r="K215">
        <v>7</v>
      </c>
      <c r="L215">
        <v>16</v>
      </c>
      <c r="M215">
        <v>2024</v>
      </c>
      <c r="N215" t="s">
        <v>47</v>
      </c>
      <c r="O215" s="5">
        <f>DATE(Tabela1[[#This Row],[vigencia ano]],Tabela1[[#This Row],[vigencia mês]],Tabela1[[#This Row],[vigencia dia]])</f>
        <v>45754</v>
      </c>
    </row>
    <row r="216" spans="1:15" x14ac:dyDescent="0.25">
      <c r="A216" t="s">
        <v>41</v>
      </c>
      <c r="B216" t="s">
        <v>918</v>
      </c>
      <c r="C216" s="1">
        <v>35845185000110</v>
      </c>
      <c r="D216" t="s">
        <v>919</v>
      </c>
      <c r="E216" t="s">
        <v>920</v>
      </c>
      <c r="F216" t="s">
        <v>16</v>
      </c>
      <c r="G216">
        <v>65091320</v>
      </c>
      <c r="H216" t="s">
        <v>921</v>
      </c>
      <c r="I216" t="s">
        <v>922</v>
      </c>
      <c r="J216" t="s">
        <v>56</v>
      </c>
      <c r="K216">
        <v>8</v>
      </c>
      <c r="L216">
        <v>20</v>
      </c>
      <c r="M216">
        <v>2030</v>
      </c>
      <c r="N216" t="s">
        <v>47</v>
      </c>
      <c r="O216" s="5">
        <f>DATE(Tabela1[[#This Row],[vigencia ano]],Tabela1[[#This Row],[vigencia mês]],Tabela1[[#This Row],[vigencia dia]])</f>
        <v>48068</v>
      </c>
    </row>
    <row r="217" spans="1:15" x14ac:dyDescent="0.25">
      <c r="A217" t="s">
        <v>41</v>
      </c>
      <c r="B217" t="s">
        <v>923</v>
      </c>
      <c r="C217" s="1">
        <v>27069620000133</v>
      </c>
      <c r="D217" t="s">
        <v>924</v>
      </c>
      <c r="E217" t="s">
        <v>920</v>
      </c>
      <c r="F217" t="s">
        <v>16</v>
      </c>
      <c r="G217">
        <v>65046660</v>
      </c>
      <c r="H217" t="s">
        <v>925</v>
      </c>
      <c r="I217" t="s">
        <v>926</v>
      </c>
      <c r="J217" t="s">
        <v>46</v>
      </c>
      <c r="K217">
        <v>6</v>
      </c>
      <c r="L217">
        <v>22</v>
      </c>
      <c r="M217">
        <v>2032</v>
      </c>
      <c r="N217" t="s">
        <v>47</v>
      </c>
      <c r="O217" s="5">
        <f>DATE(Tabela1[[#This Row],[vigencia ano]],Tabela1[[#This Row],[vigencia mês]],Tabela1[[#This Row],[vigencia dia]])</f>
        <v>48858</v>
      </c>
    </row>
    <row r="218" spans="1:15" x14ac:dyDescent="0.25">
      <c r="A218" t="s">
        <v>41</v>
      </c>
      <c r="B218" t="s">
        <v>927</v>
      </c>
      <c r="C218" s="1">
        <v>26135158000162</v>
      </c>
      <c r="D218" t="s">
        <v>928</v>
      </c>
      <c r="E218" t="s">
        <v>920</v>
      </c>
      <c r="F218" t="s">
        <v>16</v>
      </c>
      <c r="G218">
        <v>65095603</v>
      </c>
      <c r="H218" t="s">
        <v>929</v>
      </c>
      <c r="I218" t="s">
        <v>930</v>
      </c>
      <c r="J218" t="s">
        <v>56</v>
      </c>
      <c r="K218">
        <v>12</v>
      </c>
      <c r="L218">
        <v>16</v>
      </c>
      <c r="M218">
        <v>2031</v>
      </c>
      <c r="N218" t="s">
        <v>47</v>
      </c>
      <c r="O218" s="5">
        <f>DATE(Tabela1[[#This Row],[vigencia ano]],Tabela1[[#This Row],[vigencia mês]],Tabela1[[#This Row],[vigencia dia]])</f>
        <v>48316</v>
      </c>
    </row>
    <row r="219" spans="1:15" x14ac:dyDescent="0.25">
      <c r="A219" t="s">
        <v>41</v>
      </c>
      <c r="B219" t="s">
        <v>931</v>
      </c>
      <c r="C219" s="1">
        <v>24520612000173</v>
      </c>
      <c r="D219" t="s">
        <v>932</v>
      </c>
      <c r="E219" t="s">
        <v>920</v>
      </c>
      <c r="F219" t="s">
        <v>16</v>
      </c>
      <c r="G219">
        <v>65075441</v>
      </c>
      <c r="H219" t="s">
        <v>933</v>
      </c>
      <c r="I219" t="s">
        <v>934</v>
      </c>
      <c r="J219" t="s">
        <v>56</v>
      </c>
      <c r="K219">
        <v>8</v>
      </c>
      <c r="L219">
        <v>16</v>
      </c>
      <c r="M219">
        <v>2029</v>
      </c>
      <c r="N219" t="s">
        <v>47</v>
      </c>
      <c r="O219" s="5">
        <f>DATE(Tabela1[[#This Row],[vigencia ano]],Tabela1[[#This Row],[vigencia mês]],Tabela1[[#This Row],[vigencia dia]])</f>
        <v>47581</v>
      </c>
    </row>
    <row r="220" spans="1:15" x14ac:dyDescent="0.25">
      <c r="A220" t="s">
        <v>41</v>
      </c>
      <c r="B220" t="s">
        <v>935</v>
      </c>
      <c r="C220" s="1">
        <v>38227540000185</v>
      </c>
      <c r="D220" t="s">
        <v>936</v>
      </c>
      <c r="E220" t="s">
        <v>920</v>
      </c>
      <c r="F220" t="s">
        <v>16</v>
      </c>
      <c r="G220">
        <v>65091320</v>
      </c>
      <c r="H220" t="s">
        <v>937</v>
      </c>
      <c r="I220" t="s">
        <v>938</v>
      </c>
      <c r="J220" t="s">
        <v>56</v>
      </c>
      <c r="K220">
        <v>1</v>
      </c>
      <c r="L220">
        <v>30</v>
      </c>
      <c r="M220">
        <v>2033</v>
      </c>
      <c r="N220" t="s">
        <v>47</v>
      </c>
      <c r="O220" s="5">
        <f>DATE(Tabela1[[#This Row],[vigencia ano]],Tabela1[[#This Row],[vigencia mês]],Tabela1[[#This Row],[vigencia dia]])</f>
        <v>49461</v>
      </c>
    </row>
    <row r="221" spans="1:15" x14ac:dyDescent="0.25">
      <c r="A221" t="s">
        <v>41</v>
      </c>
      <c r="B221" t="s">
        <v>939</v>
      </c>
      <c r="C221" s="1">
        <v>10268661000156</v>
      </c>
      <c r="D221" t="s">
        <v>940</v>
      </c>
      <c r="E221" t="s">
        <v>920</v>
      </c>
      <c r="F221" t="s">
        <v>16</v>
      </c>
      <c r="G221">
        <v>65095602</v>
      </c>
      <c r="H221" t="s">
        <v>941</v>
      </c>
      <c r="I221" t="s">
        <v>942</v>
      </c>
      <c r="J221" t="s">
        <v>56</v>
      </c>
      <c r="K221">
        <v>3</v>
      </c>
      <c r="L221">
        <v>9</v>
      </c>
      <c r="M221">
        <v>2019</v>
      </c>
      <c r="N221" t="s">
        <v>47</v>
      </c>
      <c r="O221" s="5">
        <f>DATE(Tabela1[[#This Row],[vigencia ano]],Tabela1[[#This Row],[vigencia mês]],Tabela1[[#This Row],[vigencia dia]])</f>
        <v>43711</v>
      </c>
    </row>
    <row r="222" spans="1:15" x14ac:dyDescent="0.25">
      <c r="A222" t="s">
        <v>41</v>
      </c>
      <c r="B222" t="s">
        <v>943</v>
      </c>
      <c r="C222" s="1">
        <v>13437830000122</v>
      </c>
      <c r="D222" t="s">
        <v>944</v>
      </c>
      <c r="E222" t="s">
        <v>920</v>
      </c>
      <c r="F222" t="s">
        <v>16</v>
      </c>
      <c r="G222">
        <v>65095602</v>
      </c>
      <c r="H222" t="s">
        <v>945</v>
      </c>
      <c r="I222" t="s">
        <v>946</v>
      </c>
      <c r="J222" t="s">
        <v>56</v>
      </c>
      <c r="K222">
        <v>2</v>
      </c>
      <c r="L222">
        <v>2</v>
      </c>
      <c r="M222">
        <v>2028</v>
      </c>
      <c r="N222" t="s">
        <v>47</v>
      </c>
      <c r="O222" s="5">
        <f>DATE(Tabela1[[#This Row],[vigencia ano]],Tabela1[[#This Row],[vigencia mês]],Tabela1[[#This Row],[vigencia dia]])</f>
        <v>46785</v>
      </c>
    </row>
    <row r="223" spans="1:15" x14ac:dyDescent="0.25">
      <c r="A223" t="s">
        <v>41</v>
      </c>
      <c r="B223" t="s">
        <v>947</v>
      </c>
      <c r="C223" s="1">
        <v>1343157000182</v>
      </c>
      <c r="D223" t="s">
        <v>948</v>
      </c>
      <c r="E223" t="s">
        <v>920</v>
      </c>
      <c r="F223" t="s">
        <v>16</v>
      </c>
      <c r="G223">
        <v>65095602</v>
      </c>
      <c r="H223" t="s">
        <v>949</v>
      </c>
      <c r="I223" t="s">
        <v>950</v>
      </c>
      <c r="J223" t="s">
        <v>56</v>
      </c>
      <c r="K223">
        <v>1</v>
      </c>
      <c r="L223">
        <v>2</v>
      </c>
      <c r="M223">
        <v>2028</v>
      </c>
      <c r="N223" t="s">
        <v>47</v>
      </c>
      <c r="O223" s="5">
        <f>DATE(Tabela1[[#This Row],[vigencia ano]],Tabela1[[#This Row],[vigencia mês]],Tabela1[[#This Row],[vigencia dia]])</f>
        <v>46784</v>
      </c>
    </row>
    <row r="224" spans="1:15" x14ac:dyDescent="0.25">
      <c r="A224" t="s">
        <v>41</v>
      </c>
      <c r="B224" t="s">
        <v>951</v>
      </c>
      <c r="C224" s="1">
        <v>42375391000179</v>
      </c>
      <c r="D224" t="s">
        <v>952</v>
      </c>
      <c r="E224" t="s">
        <v>953</v>
      </c>
      <c r="F224" t="s">
        <v>17</v>
      </c>
      <c r="G224">
        <v>64003720</v>
      </c>
      <c r="H224" t="s">
        <v>954</v>
      </c>
      <c r="I224" t="s">
        <v>955</v>
      </c>
      <c r="J224" t="s">
        <v>56</v>
      </c>
      <c r="K224">
        <v>3</v>
      </c>
      <c r="L224">
        <v>30</v>
      </c>
      <c r="M224">
        <v>2032</v>
      </c>
      <c r="N224" t="s">
        <v>47</v>
      </c>
      <c r="O224" s="5">
        <f>DATE(Tabela1[[#This Row],[vigencia ano]],Tabela1[[#This Row],[vigencia mês]],Tabela1[[#This Row],[vigencia dia]])</f>
        <v>49098</v>
      </c>
    </row>
    <row r="225" spans="1:15" x14ac:dyDescent="0.25">
      <c r="A225" t="s">
        <v>41</v>
      </c>
      <c r="B225" t="s">
        <v>956</v>
      </c>
      <c r="C225" s="1">
        <v>86960721000169</v>
      </c>
      <c r="D225" t="s">
        <v>957</v>
      </c>
      <c r="E225" t="s">
        <v>953</v>
      </c>
      <c r="F225" t="s">
        <v>17</v>
      </c>
      <c r="G225">
        <v>64003700</v>
      </c>
      <c r="H225" t="s">
        <v>367</v>
      </c>
      <c r="I225" t="s">
        <v>958</v>
      </c>
      <c r="J225" t="s">
        <v>56</v>
      </c>
      <c r="K225">
        <v>8</v>
      </c>
      <c r="L225">
        <v>7</v>
      </c>
      <c r="M225">
        <v>2030</v>
      </c>
      <c r="N225" t="s">
        <v>47</v>
      </c>
      <c r="O225" s="5">
        <f>DATE(Tabela1[[#This Row],[vigencia ano]],Tabela1[[#This Row],[vigencia mês]],Tabela1[[#This Row],[vigencia dia]])</f>
        <v>47672</v>
      </c>
    </row>
    <row r="226" spans="1:15" x14ac:dyDescent="0.25">
      <c r="A226" t="s">
        <v>41</v>
      </c>
      <c r="B226" t="s">
        <v>959</v>
      </c>
      <c r="C226" s="1">
        <v>6135590000146</v>
      </c>
      <c r="D226" t="s">
        <v>960</v>
      </c>
      <c r="E226" t="s">
        <v>961</v>
      </c>
      <c r="F226" t="s">
        <v>18</v>
      </c>
      <c r="G226">
        <v>62760000</v>
      </c>
      <c r="H226" t="s">
        <v>962</v>
      </c>
      <c r="I226" t="s">
        <v>963</v>
      </c>
      <c r="J226" t="s">
        <v>56</v>
      </c>
      <c r="K226">
        <v>10</v>
      </c>
      <c r="L226">
        <v>8</v>
      </c>
      <c r="M226">
        <v>2029</v>
      </c>
      <c r="N226" t="s">
        <v>47</v>
      </c>
      <c r="O226" s="5">
        <f>DATE(Tabela1[[#This Row],[vigencia ano]],Tabela1[[#This Row],[vigencia mês]],Tabela1[[#This Row],[vigencia dia]])</f>
        <v>47340</v>
      </c>
    </row>
    <row r="227" spans="1:15" x14ac:dyDescent="0.25">
      <c r="A227" t="s">
        <v>41</v>
      </c>
      <c r="B227" t="s">
        <v>964</v>
      </c>
      <c r="C227" s="1">
        <v>14233397000176</v>
      </c>
      <c r="D227" t="s">
        <v>965</v>
      </c>
      <c r="E227" t="s">
        <v>966</v>
      </c>
      <c r="F227" t="s">
        <v>18</v>
      </c>
      <c r="G227">
        <v>61616025</v>
      </c>
      <c r="H227" t="s">
        <v>967</v>
      </c>
      <c r="I227" t="s">
        <v>968</v>
      </c>
      <c r="J227" t="s">
        <v>56</v>
      </c>
      <c r="K227">
        <v>1</v>
      </c>
      <c r="L227">
        <v>23</v>
      </c>
      <c r="M227">
        <v>2027</v>
      </c>
      <c r="N227" t="s">
        <v>47</v>
      </c>
      <c r="O227" s="5">
        <f>DATE(Tabela1[[#This Row],[vigencia ano]],Tabela1[[#This Row],[vigencia mês]],Tabela1[[#This Row],[vigencia dia]])</f>
        <v>47058</v>
      </c>
    </row>
    <row r="228" spans="1:15" x14ac:dyDescent="0.25">
      <c r="A228" t="s">
        <v>41</v>
      </c>
      <c r="B228" t="s">
        <v>969</v>
      </c>
      <c r="C228" s="1">
        <v>22712188000133</v>
      </c>
      <c r="D228" t="s">
        <v>970</v>
      </c>
      <c r="E228" t="s">
        <v>966</v>
      </c>
      <c r="F228" t="s">
        <v>18</v>
      </c>
      <c r="G228">
        <v>61600970</v>
      </c>
      <c r="H228" t="s">
        <v>971</v>
      </c>
      <c r="I228" t="s">
        <v>972</v>
      </c>
      <c r="J228" t="s">
        <v>46</v>
      </c>
      <c r="K228">
        <v>10</v>
      </c>
      <c r="L228">
        <v>19</v>
      </c>
      <c r="M228">
        <v>2028</v>
      </c>
      <c r="N228" t="s">
        <v>47</v>
      </c>
      <c r="O228" s="5">
        <f>DATE(Tabela1[[#This Row],[vigencia ano]],Tabela1[[#This Row],[vigencia mês]],Tabela1[[#This Row],[vigencia dia]])</f>
        <v>47309</v>
      </c>
    </row>
    <row r="229" spans="1:15" x14ac:dyDescent="0.25">
      <c r="A229" t="s">
        <v>41</v>
      </c>
      <c r="B229" t="s">
        <v>973</v>
      </c>
      <c r="C229" s="1">
        <v>16747315000137</v>
      </c>
      <c r="D229" t="s">
        <v>974</v>
      </c>
      <c r="E229" t="s">
        <v>975</v>
      </c>
      <c r="F229" t="s">
        <v>18</v>
      </c>
      <c r="G229">
        <v>63138000</v>
      </c>
      <c r="H229" t="s">
        <v>976</v>
      </c>
      <c r="I229" t="s">
        <v>977</v>
      </c>
      <c r="J229" t="s">
        <v>56</v>
      </c>
      <c r="K229">
        <v>2</v>
      </c>
      <c r="L229">
        <v>26</v>
      </c>
      <c r="M229">
        <v>2036</v>
      </c>
      <c r="N229" t="s">
        <v>978</v>
      </c>
      <c r="O229" s="5">
        <f>DATE(Tabela1[[#This Row],[vigencia ano]],Tabela1[[#This Row],[vigencia mês]],Tabela1[[#This Row],[vigencia dia]])</f>
        <v>50438</v>
      </c>
    </row>
    <row r="230" spans="1:15" x14ac:dyDescent="0.25">
      <c r="A230" t="s">
        <v>41</v>
      </c>
      <c r="B230" t="s">
        <v>973</v>
      </c>
      <c r="C230" s="1">
        <v>16747315000137</v>
      </c>
      <c r="D230" t="s">
        <v>974</v>
      </c>
      <c r="E230" t="s">
        <v>975</v>
      </c>
      <c r="F230" t="s">
        <v>18</v>
      </c>
      <c r="G230">
        <v>63138000</v>
      </c>
      <c r="H230" t="s">
        <v>979</v>
      </c>
      <c r="I230" t="s">
        <v>977</v>
      </c>
      <c r="J230" t="s">
        <v>56</v>
      </c>
      <c r="K230">
        <v>2</v>
      </c>
      <c r="L230">
        <v>26</v>
      </c>
      <c r="M230">
        <v>2036</v>
      </c>
      <c r="N230" t="s">
        <v>978</v>
      </c>
      <c r="O230" s="5">
        <f>DATE(Tabela1[[#This Row],[vigencia ano]],Tabela1[[#This Row],[vigencia mês]],Tabela1[[#This Row],[vigencia dia]])</f>
        <v>50438</v>
      </c>
    </row>
    <row r="231" spans="1:15" x14ac:dyDescent="0.25">
      <c r="A231" t="s">
        <v>41</v>
      </c>
      <c r="B231" t="s">
        <v>980</v>
      </c>
      <c r="C231" s="1">
        <v>34314607000168</v>
      </c>
      <c r="D231" t="s">
        <v>981</v>
      </c>
      <c r="E231" t="s">
        <v>982</v>
      </c>
      <c r="F231" t="s">
        <v>18</v>
      </c>
      <c r="G231">
        <v>61760000</v>
      </c>
      <c r="H231" t="s">
        <v>983</v>
      </c>
      <c r="I231" t="s">
        <v>984</v>
      </c>
      <c r="J231" t="s">
        <v>56</v>
      </c>
      <c r="K231">
        <v>1</v>
      </c>
      <c r="L231">
        <v>18</v>
      </c>
      <c r="M231">
        <v>2031</v>
      </c>
      <c r="N231" t="s">
        <v>47</v>
      </c>
      <c r="O231" s="5">
        <f>DATE(Tabela1[[#This Row],[vigencia ano]],Tabela1[[#This Row],[vigencia mês]],Tabela1[[#This Row],[vigencia dia]])</f>
        <v>48366</v>
      </c>
    </row>
    <row r="232" spans="1:15" x14ac:dyDescent="0.25">
      <c r="A232" t="s">
        <v>41</v>
      </c>
      <c r="B232" t="s">
        <v>985</v>
      </c>
      <c r="C232" s="1">
        <v>43332756000140</v>
      </c>
      <c r="D232" t="s">
        <v>986</v>
      </c>
      <c r="E232" t="s">
        <v>987</v>
      </c>
      <c r="F232" t="s">
        <v>18</v>
      </c>
      <c r="G232">
        <v>60135270</v>
      </c>
      <c r="H232" t="s">
        <v>988</v>
      </c>
      <c r="I232" t="s">
        <v>989</v>
      </c>
      <c r="J232" t="s">
        <v>56</v>
      </c>
      <c r="K232">
        <v>8</v>
      </c>
      <c r="L232">
        <v>5</v>
      </c>
      <c r="M232">
        <v>2032</v>
      </c>
      <c r="N232" t="s">
        <v>47</v>
      </c>
      <c r="O232" s="5">
        <f>DATE(Tabela1[[#This Row],[vigencia ano]],Tabela1[[#This Row],[vigencia mês]],Tabela1[[#This Row],[vigencia dia]])</f>
        <v>48342</v>
      </c>
    </row>
    <row r="233" spans="1:15" x14ac:dyDescent="0.25">
      <c r="A233" t="s">
        <v>41</v>
      </c>
      <c r="B233" t="s">
        <v>990</v>
      </c>
      <c r="C233" s="1">
        <v>23068420000105</v>
      </c>
      <c r="D233" t="s">
        <v>991</v>
      </c>
      <c r="E233" t="s">
        <v>987</v>
      </c>
      <c r="F233" t="s">
        <v>18</v>
      </c>
      <c r="G233">
        <v>60440125</v>
      </c>
      <c r="H233" t="s">
        <v>992</v>
      </c>
      <c r="I233" t="s">
        <v>993</v>
      </c>
      <c r="J233" t="s">
        <v>56</v>
      </c>
      <c r="K233">
        <v>3</v>
      </c>
      <c r="L233">
        <v>23</v>
      </c>
      <c r="M233">
        <v>2031</v>
      </c>
      <c r="N233" t="s">
        <v>47</v>
      </c>
      <c r="O233" s="5">
        <f>DATE(Tabela1[[#This Row],[vigencia ano]],Tabela1[[#This Row],[vigencia mês]],Tabela1[[#This Row],[vigencia dia]])</f>
        <v>48521</v>
      </c>
    </row>
    <row r="234" spans="1:15" x14ac:dyDescent="0.25">
      <c r="A234" t="s">
        <v>41</v>
      </c>
      <c r="B234" t="s">
        <v>994</v>
      </c>
      <c r="C234" s="1">
        <v>14883222000104</v>
      </c>
      <c r="D234" t="s">
        <v>995</v>
      </c>
      <c r="E234" t="s">
        <v>987</v>
      </c>
      <c r="F234" t="s">
        <v>18</v>
      </c>
      <c r="G234">
        <v>60125150</v>
      </c>
      <c r="H234" t="s">
        <v>996</v>
      </c>
      <c r="I234" t="s">
        <v>997</v>
      </c>
      <c r="J234" t="s">
        <v>56</v>
      </c>
      <c r="K234">
        <v>4</v>
      </c>
      <c r="L234">
        <v>13</v>
      </c>
      <c r="M234">
        <v>2026</v>
      </c>
      <c r="N234" t="s">
        <v>47</v>
      </c>
      <c r="O234" s="5">
        <f>DATE(Tabela1[[#This Row],[vigencia ano]],Tabela1[[#This Row],[vigencia mês]],Tabela1[[#This Row],[vigencia dia]])</f>
        <v>46391</v>
      </c>
    </row>
    <row r="235" spans="1:15" x14ac:dyDescent="0.25">
      <c r="A235" t="s">
        <v>41</v>
      </c>
      <c r="B235" t="s">
        <v>998</v>
      </c>
      <c r="C235" s="1">
        <v>34760846000141</v>
      </c>
      <c r="D235" t="s">
        <v>999</v>
      </c>
      <c r="E235" t="s">
        <v>987</v>
      </c>
      <c r="F235" t="s">
        <v>18</v>
      </c>
      <c r="G235">
        <v>60150165</v>
      </c>
      <c r="H235" t="s">
        <v>1000</v>
      </c>
      <c r="I235" t="s">
        <v>1001</v>
      </c>
      <c r="J235" t="s">
        <v>56</v>
      </c>
      <c r="K235">
        <v>5</v>
      </c>
      <c r="L235">
        <v>5</v>
      </c>
      <c r="M235">
        <v>2032</v>
      </c>
      <c r="N235" t="s">
        <v>47</v>
      </c>
      <c r="O235" s="5">
        <f>DATE(Tabela1[[#This Row],[vigencia ano]],Tabela1[[#This Row],[vigencia mês]],Tabela1[[#This Row],[vigencia dia]])</f>
        <v>48339</v>
      </c>
    </row>
    <row r="236" spans="1:15" x14ac:dyDescent="0.25">
      <c r="A236" t="s">
        <v>41</v>
      </c>
      <c r="B236" t="s">
        <v>1002</v>
      </c>
      <c r="C236" s="1">
        <v>7223878000135</v>
      </c>
      <c r="D236" t="s">
        <v>1003</v>
      </c>
      <c r="E236" t="s">
        <v>987</v>
      </c>
      <c r="F236" t="s">
        <v>18</v>
      </c>
      <c r="G236">
        <v>60410691</v>
      </c>
      <c r="H236" t="s">
        <v>1004</v>
      </c>
      <c r="I236" t="s">
        <v>1005</v>
      </c>
      <c r="J236" t="s">
        <v>46</v>
      </c>
      <c r="K236">
        <v>7</v>
      </c>
      <c r="L236">
        <v>26</v>
      </c>
      <c r="M236">
        <v>2020</v>
      </c>
      <c r="N236" t="s">
        <v>47</v>
      </c>
      <c r="O236" s="5">
        <f>DATE(Tabela1[[#This Row],[vigencia ano]],Tabela1[[#This Row],[vigencia mês]],Tabela1[[#This Row],[vigencia dia]])</f>
        <v>44599</v>
      </c>
    </row>
    <row r="237" spans="1:15" x14ac:dyDescent="0.25">
      <c r="A237" t="s">
        <v>41</v>
      </c>
      <c r="B237" t="s">
        <v>1006</v>
      </c>
      <c r="C237" s="1">
        <v>7342331000159</v>
      </c>
      <c r="D237" t="s">
        <v>1007</v>
      </c>
      <c r="E237" t="s">
        <v>987</v>
      </c>
      <c r="F237" t="s">
        <v>18</v>
      </c>
      <c r="G237">
        <v>60170172</v>
      </c>
      <c r="H237" t="s">
        <v>1008</v>
      </c>
      <c r="I237" t="s">
        <v>1009</v>
      </c>
      <c r="J237" t="s">
        <v>46</v>
      </c>
      <c r="K237">
        <v>7</v>
      </c>
      <c r="L237">
        <v>29</v>
      </c>
      <c r="M237">
        <v>2025</v>
      </c>
      <c r="N237" t="s">
        <v>47</v>
      </c>
      <c r="O237" s="5">
        <f>DATE(Tabela1[[#This Row],[vigencia ano]],Tabela1[[#This Row],[vigencia mês]],Tabela1[[#This Row],[vigencia dia]])</f>
        <v>46514</v>
      </c>
    </row>
    <row r="238" spans="1:15" x14ac:dyDescent="0.25">
      <c r="A238" t="s">
        <v>41</v>
      </c>
      <c r="B238" t="s">
        <v>1010</v>
      </c>
      <c r="C238" s="1">
        <v>10943676000172</v>
      </c>
      <c r="D238" t="s">
        <v>1011</v>
      </c>
      <c r="E238" t="s">
        <v>987</v>
      </c>
      <c r="F238" t="s">
        <v>18</v>
      </c>
      <c r="G238">
        <v>60125150</v>
      </c>
      <c r="H238" t="s">
        <v>1012</v>
      </c>
      <c r="I238" t="s">
        <v>1013</v>
      </c>
      <c r="J238" t="s">
        <v>56</v>
      </c>
      <c r="K238">
        <v>8</v>
      </c>
      <c r="L238">
        <v>30</v>
      </c>
      <c r="M238">
        <v>2022</v>
      </c>
      <c r="N238" t="s">
        <v>47</v>
      </c>
      <c r="O238" s="5">
        <f>DATE(Tabela1[[#This Row],[vigencia ano]],Tabela1[[#This Row],[vigencia mês]],Tabela1[[#This Row],[vigencia dia]])</f>
        <v>45451</v>
      </c>
    </row>
    <row r="239" spans="1:15" x14ac:dyDescent="0.25">
      <c r="A239" t="s">
        <v>41</v>
      </c>
      <c r="B239" t="s">
        <v>1014</v>
      </c>
      <c r="C239" s="1">
        <v>8707061000103</v>
      </c>
      <c r="D239" t="s">
        <v>1015</v>
      </c>
      <c r="E239" t="s">
        <v>987</v>
      </c>
      <c r="F239" t="s">
        <v>18</v>
      </c>
      <c r="G239">
        <v>60824115</v>
      </c>
      <c r="H239" t="s">
        <v>1016</v>
      </c>
      <c r="I239" t="s">
        <v>1017</v>
      </c>
      <c r="J239" t="s">
        <v>56</v>
      </c>
      <c r="K239">
        <v>9</v>
      </c>
      <c r="L239">
        <v>21</v>
      </c>
      <c r="M239">
        <v>2028</v>
      </c>
      <c r="N239" t="s">
        <v>47</v>
      </c>
      <c r="O239" s="5">
        <f>DATE(Tabela1[[#This Row],[vigencia ano]],Tabela1[[#This Row],[vigencia mês]],Tabela1[[#This Row],[vigencia dia]])</f>
        <v>47370</v>
      </c>
    </row>
    <row r="240" spans="1:15" x14ac:dyDescent="0.25">
      <c r="A240" t="s">
        <v>41</v>
      </c>
      <c r="B240" t="s">
        <v>1018</v>
      </c>
      <c r="C240" s="1">
        <v>17234244000131</v>
      </c>
      <c r="D240" t="s">
        <v>1019</v>
      </c>
      <c r="E240" t="s">
        <v>987</v>
      </c>
      <c r="F240" t="s">
        <v>18</v>
      </c>
      <c r="G240">
        <v>60335195</v>
      </c>
      <c r="H240" t="s">
        <v>1020</v>
      </c>
      <c r="I240" t="s">
        <v>1021</v>
      </c>
      <c r="J240" t="s">
        <v>56</v>
      </c>
      <c r="K240">
        <v>12</v>
      </c>
      <c r="L240">
        <v>16</v>
      </c>
      <c r="M240">
        <v>2023</v>
      </c>
      <c r="N240" t="s">
        <v>47</v>
      </c>
      <c r="O240" s="5">
        <f>DATE(Tabela1[[#This Row],[vigencia ano]],Tabela1[[#This Row],[vigencia mês]],Tabela1[[#This Row],[vigencia dia]])</f>
        <v>45394</v>
      </c>
    </row>
    <row r="241" spans="1:15" x14ac:dyDescent="0.25">
      <c r="A241" t="s">
        <v>41</v>
      </c>
      <c r="B241" t="s">
        <v>1022</v>
      </c>
      <c r="C241" s="1">
        <v>24915385000185</v>
      </c>
      <c r="D241" t="s">
        <v>1023</v>
      </c>
      <c r="E241" t="s">
        <v>987</v>
      </c>
      <c r="F241" t="s">
        <v>18</v>
      </c>
      <c r="G241">
        <v>60150161</v>
      </c>
      <c r="H241" t="s">
        <v>1024</v>
      </c>
      <c r="I241" t="s">
        <v>1025</v>
      </c>
      <c r="J241" t="s">
        <v>56</v>
      </c>
      <c r="K241">
        <v>4</v>
      </c>
      <c r="L241">
        <v>28</v>
      </c>
      <c r="M241">
        <v>2027</v>
      </c>
      <c r="N241" t="s">
        <v>47</v>
      </c>
      <c r="O241" s="5">
        <f>DATE(Tabela1[[#This Row],[vigencia ano]],Tabela1[[#This Row],[vigencia mês]],Tabela1[[#This Row],[vigencia dia]])</f>
        <v>47212</v>
      </c>
    </row>
    <row r="242" spans="1:15" x14ac:dyDescent="0.25">
      <c r="A242" t="s">
        <v>41</v>
      </c>
      <c r="B242" t="s">
        <v>1026</v>
      </c>
      <c r="C242" s="1">
        <v>11552312000124</v>
      </c>
      <c r="D242" t="s">
        <v>1027</v>
      </c>
      <c r="E242" t="s">
        <v>987</v>
      </c>
      <c r="F242" t="s">
        <v>18</v>
      </c>
      <c r="G242">
        <v>60864012</v>
      </c>
      <c r="H242" t="s">
        <v>1028</v>
      </c>
      <c r="I242" t="s">
        <v>1029</v>
      </c>
      <c r="J242" t="s">
        <v>56</v>
      </c>
      <c r="K242">
        <v>8</v>
      </c>
      <c r="L242">
        <v>2</v>
      </c>
      <c r="M242">
        <v>2026</v>
      </c>
      <c r="N242" t="s">
        <v>47</v>
      </c>
      <c r="O242" s="5">
        <f>DATE(Tabela1[[#This Row],[vigencia ano]],Tabela1[[#This Row],[vigencia mês]],Tabela1[[#This Row],[vigencia dia]])</f>
        <v>46061</v>
      </c>
    </row>
    <row r="243" spans="1:15" x14ac:dyDescent="0.25">
      <c r="A243" t="s">
        <v>41</v>
      </c>
      <c r="B243" t="s">
        <v>1030</v>
      </c>
      <c r="C243" s="1">
        <v>1491071000105</v>
      </c>
      <c r="D243" t="s">
        <v>1031</v>
      </c>
      <c r="E243" t="s">
        <v>987</v>
      </c>
      <c r="F243" t="s">
        <v>18</v>
      </c>
      <c r="G243">
        <v>60720570</v>
      </c>
      <c r="H243" t="s">
        <v>1032</v>
      </c>
      <c r="I243" t="s">
        <v>1033</v>
      </c>
      <c r="J243" t="s">
        <v>56</v>
      </c>
      <c r="K243">
        <v>1</v>
      </c>
      <c r="L243">
        <v>9</v>
      </c>
      <c r="M243">
        <v>2034</v>
      </c>
      <c r="N243" t="s">
        <v>47</v>
      </c>
      <c r="O243" s="5">
        <f>DATE(Tabela1[[#This Row],[vigencia ano]],Tabela1[[#This Row],[vigencia mês]],Tabela1[[#This Row],[vigencia dia]])</f>
        <v>49188</v>
      </c>
    </row>
    <row r="244" spans="1:15" x14ac:dyDescent="0.25">
      <c r="A244" t="s">
        <v>41</v>
      </c>
      <c r="B244" t="s">
        <v>1034</v>
      </c>
      <c r="C244" s="1">
        <v>14839501000170</v>
      </c>
      <c r="D244" t="s">
        <v>1035</v>
      </c>
      <c r="E244" t="s">
        <v>987</v>
      </c>
      <c r="F244" t="s">
        <v>18</v>
      </c>
      <c r="G244">
        <v>60420130</v>
      </c>
      <c r="H244" t="s">
        <v>1004</v>
      </c>
      <c r="I244" t="s">
        <v>1036</v>
      </c>
      <c r="J244" t="s">
        <v>56</v>
      </c>
      <c r="K244">
        <v>8</v>
      </c>
      <c r="L244">
        <v>14</v>
      </c>
      <c r="M244">
        <v>2023</v>
      </c>
      <c r="N244" t="s">
        <v>47</v>
      </c>
      <c r="O244" s="5">
        <f>DATE(Tabela1[[#This Row],[vigencia ano]],Tabela1[[#This Row],[vigencia mês]],Tabela1[[#This Row],[vigencia dia]])</f>
        <v>45330</v>
      </c>
    </row>
    <row r="245" spans="1:15" x14ac:dyDescent="0.25">
      <c r="A245" t="s">
        <v>41</v>
      </c>
      <c r="B245" t="s">
        <v>1037</v>
      </c>
      <c r="C245" s="1">
        <v>7370836000127</v>
      </c>
      <c r="D245" t="s">
        <v>1038</v>
      </c>
      <c r="E245" t="s">
        <v>987</v>
      </c>
      <c r="F245" t="s">
        <v>18</v>
      </c>
      <c r="G245">
        <v>60135270</v>
      </c>
      <c r="H245" t="s">
        <v>1039</v>
      </c>
      <c r="I245" t="s">
        <v>1040</v>
      </c>
      <c r="J245" t="s">
        <v>56</v>
      </c>
      <c r="K245">
        <v>6</v>
      </c>
      <c r="L245">
        <v>14</v>
      </c>
      <c r="M245">
        <v>2031</v>
      </c>
      <c r="N245" t="s">
        <v>47</v>
      </c>
      <c r="O245" s="5">
        <f>DATE(Tabela1[[#This Row],[vigencia ano]],Tabela1[[#This Row],[vigencia mês]],Tabela1[[#This Row],[vigencia dia]])</f>
        <v>48250</v>
      </c>
    </row>
    <row r="246" spans="1:15" x14ac:dyDescent="0.25">
      <c r="A246" t="s">
        <v>41</v>
      </c>
      <c r="B246" t="s">
        <v>1041</v>
      </c>
      <c r="C246" s="1">
        <v>18754563000130</v>
      </c>
      <c r="D246" t="s">
        <v>1042</v>
      </c>
      <c r="E246" t="s">
        <v>987</v>
      </c>
      <c r="F246" t="s">
        <v>18</v>
      </c>
      <c r="G246">
        <v>60040530</v>
      </c>
      <c r="H246" t="s">
        <v>1043</v>
      </c>
      <c r="I246" t="s">
        <v>1044</v>
      </c>
      <c r="J246" t="s">
        <v>56</v>
      </c>
      <c r="K246">
        <v>8</v>
      </c>
      <c r="L246">
        <v>16</v>
      </c>
      <c r="M246">
        <v>2034</v>
      </c>
      <c r="N246" t="s">
        <v>47</v>
      </c>
      <c r="O246" s="5">
        <f>DATE(Tabela1[[#This Row],[vigencia ano]],Tabela1[[#This Row],[vigencia mês]],Tabela1[[#This Row],[vigencia dia]])</f>
        <v>49407</v>
      </c>
    </row>
    <row r="247" spans="1:15" x14ac:dyDescent="0.25">
      <c r="A247" t="s">
        <v>41</v>
      </c>
      <c r="B247" t="s">
        <v>1045</v>
      </c>
      <c r="C247" s="1">
        <v>15521992000170</v>
      </c>
      <c r="D247" t="s">
        <v>1046</v>
      </c>
      <c r="E247" t="s">
        <v>987</v>
      </c>
      <c r="F247" t="s">
        <v>18</v>
      </c>
      <c r="G247">
        <v>60861015</v>
      </c>
      <c r="H247" t="s">
        <v>1047</v>
      </c>
      <c r="I247" t="s">
        <v>1048</v>
      </c>
      <c r="J247" t="s">
        <v>46</v>
      </c>
      <c r="K247">
        <v>9</v>
      </c>
      <c r="L247">
        <v>9</v>
      </c>
      <c r="M247">
        <v>2035</v>
      </c>
      <c r="N247" t="s">
        <v>1049</v>
      </c>
      <c r="O247" s="5">
        <f>DATE(Tabela1[[#This Row],[vigencia ano]],Tabela1[[#This Row],[vigencia mês]],Tabela1[[#This Row],[vigencia dia]])</f>
        <v>49561</v>
      </c>
    </row>
    <row r="248" spans="1:15" x14ac:dyDescent="0.25">
      <c r="A248" t="s">
        <v>41</v>
      </c>
      <c r="B248" t="s">
        <v>1045</v>
      </c>
      <c r="C248" s="1">
        <v>15521992000170</v>
      </c>
      <c r="D248" t="s">
        <v>1046</v>
      </c>
      <c r="E248" t="s">
        <v>987</v>
      </c>
      <c r="F248" t="s">
        <v>18</v>
      </c>
      <c r="G248">
        <v>60861015</v>
      </c>
      <c r="H248" t="s">
        <v>1050</v>
      </c>
      <c r="I248" t="s">
        <v>1048</v>
      </c>
      <c r="J248" t="s">
        <v>46</v>
      </c>
      <c r="K248">
        <v>9</v>
      </c>
      <c r="L248">
        <v>9</v>
      </c>
      <c r="M248">
        <v>2035</v>
      </c>
      <c r="N248" t="s">
        <v>1049</v>
      </c>
      <c r="O248" s="5">
        <f>DATE(Tabela1[[#This Row],[vigencia ano]],Tabela1[[#This Row],[vigencia mês]],Tabela1[[#This Row],[vigencia dia]])</f>
        <v>49561</v>
      </c>
    </row>
    <row r="249" spans="1:15" x14ac:dyDescent="0.25">
      <c r="A249" t="s">
        <v>41</v>
      </c>
      <c r="B249" t="s">
        <v>1051</v>
      </c>
      <c r="C249" s="1">
        <v>60741953000132</v>
      </c>
      <c r="D249" t="s">
        <v>1052</v>
      </c>
      <c r="E249" t="s">
        <v>987</v>
      </c>
      <c r="F249" t="s">
        <v>18</v>
      </c>
      <c r="G249">
        <v>60135238</v>
      </c>
      <c r="H249" t="s">
        <v>1053</v>
      </c>
      <c r="I249" t="s">
        <v>1054</v>
      </c>
      <c r="J249" t="s">
        <v>56</v>
      </c>
      <c r="K249">
        <v>6</v>
      </c>
      <c r="L249">
        <v>18</v>
      </c>
      <c r="M249">
        <v>2035</v>
      </c>
      <c r="N249" t="s">
        <v>1055</v>
      </c>
      <c r="O249" s="5">
        <f>DATE(Tabela1[[#This Row],[vigencia ano]],Tabela1[[#This Row],[vigencia mês]],Tabela1[[#This Row],[vigencia dia]])</f>
        <v>49832</v>
      </c>
    </row>
    <row r="250" spans="1:15" x14ac:dyDescent="0.25">
      <c r="A250" t="s">
        <v>41</v>
      </c>
      <c r="B250" t="s">
        <v>1056</v>
      </c>
      <c r="C250" s="1">
        <v>60118390000120</v>
      </c>
      <c r="D250" t="s">
        <v>1057</v>
      </c>
      <c r="E250" t="s">
        <v>987</v>
      </c>
      <c r="F250" t="s">
        <v>18</v>
      </c>
      <c r="G250">
        <v>60811341</v>
      </c>
      <c r="H250" t="s">
        <v>1058</v>
      </c>
      <c r="I250" t="s">
        <v>1059</v>
      </c>
      <c r="J250" t="s">
        <v>56</v>
      </c>
      <c r="K250">
        <v>7</v>
      </c>
      <c r="L250">
        <v>10</v>
      </c>
      <c r="M250">
        <v>2035</v>
      </c>
      <c r="N250" t="s">
        <v>1060</v>
      </c>
      <c r="O250" s="5">
        <f>DATE(Tabela1[[#This Row],[vigencia ano]],Tabela1[[#This Row],[vigencia mês]],Tabela1[[#This Row],[vigencia dia]])</f>
        <v>49589</v>
      </c>
    </row>
    <row r="251" spans="1:15" x14ac:dyDescent="0.25">
      <c r="A251" t="s">
        <v>41</v>
      </c>
      <c r="B251" t="s">
        <v>1061</v>
      </c>
      <c r="C251" s="1">
        <v>5996122000101</v>
      </c>
      <c r="D251" t="s">
        <v>1062</v>
      </c>
      <c r="E251" t="s">
        <v>987</v>
      </c>
      <c r="F251" t="s">
        <v>18</v>
      </c>
      <c r="G251">
        <v>60741255</v>
      </c>
      <c r="H251" t="s">
        <v>1063</v>
      </c>
      <c r="I251" t="s">
        <v>1064</v>
      </c>
      <c r="J251" t="s">
        <v>56</v>
      </c>
      <c r="K251">
        <v>12</v>
      </c>
      <c r="L251">
        <v>14</v>
      </c>
      <c r="M251">
        <v>2030</v>
      </c>
      <c r="N251" t="s">
        <v>47</v>
      </c>
      <c r="O251" s="5">
        <f>DATE(Tabela1[[#This Row],[vigencia ano]],Tabela1[[#This Row],[vigencia mês]],Tabela1[[#This Row],[vigencia dia]])</f>
        <v>47891</v>
      </c>
    </row>
    <row r="252" spans="1:15" x14ac:dyDescent="0.25">
      <c r="A252" t="s">
        <v>41</v>
      </c>
      <c r="B252" t="s">
        <v>1065</v>
      </c>
      <c r="C252" s="1">
        <v>51476295000108</v>
      </c>
      <c r="D252" t="s">
        <v>1066</v>
      </c>
      <c r="E252" t="s">
        <v>987</v>
      </c>
      <c r="F252" t="s">
        <v>18</v>
      </c>
      <c r="G252">
        <v>60720605</v>
      </c>
      <c r="H252" t="s">
        <v>1032</v>
      </c>
      <c r="I252" t="s">
        <v>1067</v>
      </c>
      <c r="J252" t="s">
        <v>56</v>
      </c>
      <c r="K252">
        <v>3</v>
      </c>
      <c r="L252">
        <v>31</v>
      </c>
      <c r="M252">
        <v>2035</v>
      </c>
      <c r="N252" t="s">
        <v>1068</v>
      </c>
      <c r="O252" s="5">
        <f>DATE(Tabela1[[#This Row],[vigencia ano]],Tabela1[[#This Row],[vigencia mês]],Tabela1[[#This Row],[vigencia dia]])</f>
        <v>50224</v>
      </c>
    </row>
    <row r="253" spans="1:15" x14ac:dyDescent="0.25">
      <c r="A253" t="s">
        <v>41</v>
      </c>
      <c r="B253" t="s">
        <v>1069</v>
      </c>
      <c r="C253" s="1">
        <v>24910092000105</v>
      </c>
      <c r="D253" t="s">
        <v>1070</v>
      </c>
      <c r="E253" t="s">
        <v>1071</v>
      </c>
      <c r="F253" t="s">
        <v>18</v>
      </c>
      <c r="G253">
        <v>62880970</v>
      </c>
      <c r="H253" t="s">
        <v>1072</v>
      </c>
      <c r="I253" t="s">
        <v>1073</v>
      </c>
      <c r="J253" t="s">
        <v>56</v>
      </c>
      <c r="K253">
        <v>1</v>
      </c>
      <c r="L253">
        <v>25</v>
      </c>
      <c r="M253">
        <v>2027</v>
      </c>
      <c r="N253" t="s">
        <v>47</v>
      </c>
      <c r="O253" s="5">
        <f>DATE(Tabela1[[#This Row],[vigencia ano]],Tabela1[[#This Row],[vigencia mês]],Tabela1[[#This Row],[vigencia dia]])</f>
        <v>47119</v>
      </c>
    </row>
    <row r="254" spans="1:15" x14ac:dyDescent="0.25">
      <c r="A254" t="s">
        <v>41</v>
      </c>
      <c r="B254" t="s">
        <v>1074</v>
      </c>
      <c r="C254" s="1">
        <v>7269707000147</v>
      </c>
      <c r="D254" t="s">
        <v>1075</v>
      </c>
      <c r="E254" t="s">
        <v>1076</v>
      </c>
      <c r="F254" t="s">
        <v>18</v>
      </c>
      <c r="G254">
        <v>61931060</v>
      </c>
      <c r="H254" t="s">
        <v>1077</v>
      </c>
      <c r="I254" t="s">
        <v>1078</v>
      </c>
      <c r="J254" t="s">
        <v>56</v>
      </c>
      <c r="K254">
        <v>11</v>
      </c>
      <c r="L254">
        <v>13</v>
      </c>
      <c r="M254">
        <v>2030</v>
      </c>
      <c r="N254" t="s">
        <v>47</v>
      </c>
      <c r="O254" s="5">
        <f>DATE(Tabela1[[#This Row],[vigencia ano]],Tabela1[[#This Row],[vigencia mês]],Tabela1[[#This Row],[vigencia dia]])</f>
        <v>47859</v>
      </c>
    </row>
    <row r="255" spans="1:15" x14ac:dyDescent="0.25">
      <c r="A255" t="s">
        <v>41</v>
      </c>
      <c r="B255" t="s">
        <v>1079</v>
      </c>
      <c r="C255" s="1">
        <v>35285220000193</v>
      </c>
      <c r="D255" t="s">
        <v>1080</v>
      </c>
      <c r="E255" t="s">
        <v>1081</v>
      </c>
      <c r="F255" t="s">
        <v>19</v>
      </c>
      <c r="G255">
        <v>59280000</v>
      </c>
      <c r="H255" t="s">
        <v>1082</v>
      </c>
      <c r="I255" t="s">
        <v>1083</v>
      </c>
      <c r="J255" t="s">
        <v>56</v>
      </c>
      <c r="K255">
        <v>5</v>
      </c>
      <c r="L255">
        <v>8</v>
      </c>
      <c r="M255">
        <v>2029</v>
      </c>
      <c r="N255" t="s">
        <v>47</v>
      </c>
      <c r="O255" s="5">
        <f>DATE(Tabela1[[#This Row],[vigencia ano]],Tabela1[[#This Row],[vigencia mês]],Tabela1[[#This Row],[vigencia dia]])</f>
        <v>47335</v>
      </c>
    </row>
    <row r="256" spans="1:15" x14ac:dyDescent="0.25">
      <c r="A256" t="s">
        <v>41</v>
      </c>
      <c r="B256" t="s">
        <v>1084</v>
      </c>
      <c r="C256" s="1">
        <v>7189259000171</v>
      </c>
      <c r="D256" t="s">
        <v>1085</v>
      </c>
      <c r="E256" t="s">
        <v>1086</v>
      </c>
      <c r="F256" t="s">
        <v>19</v>
      </c>
      <c r="G256">
        <v>59082030</v>
      </c>
      <c r="H256" t="s">
        <v>1087</v>
      </c>
      <c r="I256" t="s">
        <v>1088</v>
      </c>
      <c r="J256" t="s">
        <v>56</v>
      </c>
      <c r="K256">
        <v>5</v>
      </c>
      <c r="L256">
        <v>18</v>
      </c>
      <c r="M256">
        <v>2033</v>
      </c>
      <c r="N256" t="s">
        <v>47</v>
      </c>
      <c r="O256" s="5">
        <f>DATE(Tabela1[[#This Row],[vigencia ano]],Tabela1[[#This Row],[vigencia mês]],Tabela1[[#This Row],[vigencia dia]])</f>
        <v>49100</v>
      </c>
    </row>
    <row r="257" spans="1:15" x14ac:dyDescent="0.25">
      <c r="A257" t="s">
        <v>41</v>
      </c>
      <c r="B257" t="s">
        <v>1089</v>
      </c>
      <c r="C257" s="1">
        <v>14532265000145</v>
      </c>
      <c r="D257" t="s">
        <v>1090</v>
      </c>
      <c r="E257" t="s">
        <v>1091</v>
      </c>
      <c r="F257" t="s">
        <v>19</v>
      </c>
      <c r="G257">
        <v>59158775</v>
      </c>
      <c r="H257" t="s">
        <v>1092</v>
      </c>
      <c r="I257" t="s">
        <v>1093</v>
      </c>
      <c r="J257" t="s">
        <v>56</v>
      </c>
      <c r="K257">
        <v>12</v>
      </c>
      <c r="L257">
        <v>12</v>
      </c>
      <c r="M257">
        <v>2032</v>
      </c>
      <c r="N257" t="s">
        <v>47</v>
      </c>
      <c r="O257" s="5">
        <f>DATE(Tabela1[[#This Row],[vigencia ano]],Tabela1[[#This Row],[vigencia mês]],Tabela1[[#This Row],[vigencia dia]])</f>
        <v>48560</v>
      </c>
    </row>
    <row r="258" spans="1:15" x14ac:dyDescent="0.25">
      <c r="A258" t="s">
        <v>41</v>
      </c>
      <c r="B258" t="s">
        <v>1089</v>
      </c>
      <c r="C258" s="1">
        <v>14532265000145</v>
      </c>
      <c r="D258" t="s">
        <v>1090</v>
      </c>
      <c r="E258" t="s">
        <v>1091</v>
      </c>
      <c r="F258" t="s">
        <v>19</v>
      </c>
      <c r="G258">
        <v>59158775</v>
      </c>
      <c r="H258" t="s">
        <v>1094</v>
      </c>
      <c r="I258" t="s">
        <v>1093</v>
      </c>
      <c r="J258" t="s">
        <v>56</v>
      </c>
      <c r="K258">
        <v>12</v>
      </c>
      <c r="L258">
        <v>12</v>
      </c>
      <c r="M258">
        <v>2032</v>
      </c>
      <c r="N258" t="s">
        <v>47</v>
      </c>
      <c r="O258" s="5">
        <f>DATE(Tabela1[[#This Row],[vigencia ano]],Tabela1[[#This Row],[vigencia mês]],Tabela1[[#This Row],[vigencia dia]])</f>
        <v>48560</v>
      </c>
    </row>
    <row r="259" spans="1:15" x14ac:dyDescent="0.25">
      <c r="A259" t="s">
        <v>41</v>
      </c>
      <c r="B259" t="s">
        <v>1095</v>
      </c>
      <c r="C259" s="1">
        <v>7543365000101</v>
      </c>
      <c r="D259" t="s">
        <v>1096</v>
      </c>
      <c r="E259" t="s">
        <v>1091</v>
      </c>
      <c r="F259" t="s">
        <v>19</v>
      </c>
      <c r="G259">
        <v>59150210</v>
      </c>
      <c r="H259" t="s">
        <v>1092</v>
      </c>
      <c r="I259" t="s">
        <v>1097</v>
      </c>
      <c r="J259" t="s">
        <v>56</v>
      </c>
      <c r="K259">
        <v>8</v>
      </c>
      <c r="L259">
        <v>18</v>
      </c>
      <c r="M259">
        <v>2032</v>
      </c>
      <c r="N259" t="s">
        <v>47</v>
      </c>
      <c r="O259" s="5">
        <f>DATE(Tabela1[[#This Row],[vigencia ano]],Tabela1[[#This Row],[vigencia mês]],Tabela1[[#This Row],[vigencia dia]])</f>
        <v>48738</v>
      </c>
    </row>
    <row r="260" spans="1:15" x14ac:dyDescent="0.25">
      <c r="A260" t="s">
        <v>41</v>
      </c>
      <c r="B260" t="s">
        <v>1098</v>
      </c>
      <c r="C260" s="1">
        <v>8025389000131</v>
      </c>
      <c r="D260" t="s">
        <v>1099</v>
      </c>
      <c r="E260" t="s">
        <v>1091</v>
      </c>
      <c r="F260" t="s">
        <v>19</v>
      </c>
      <c r="G260">
        <v>59146480</v>
      </c>
      <c r="H260" t="s">
        <v>1100</v>
      </c>
      <c r="I260" t="s">
        <v>1101</v>
      </c>
      <c r="J260" t="s">
        <v>56</v>
      </c>
      <c r="K260">
        <v>9</v>
      </c>
      <c r="L260">
        <v>23</v>
      </c>
      <c r="M260">
        <v>2029</v>
      </c>
      <c r="N260" t="s">
        <v>47</v>
      </c>
      <c r="O260" s="5">
        <f>DATE(Tabela1[[#This Row],[vigencia ano]],Tabela1[[#This Row],[vigencia mês]],Tabela1[[#This Row],[vigencia dia]])</f>
        <v>47796</v>
      </c>
    </row>
    <row r="261" spans="1:15" x14ac:dyDescent="0.25">
      <c r="A261" t="s">
        <v>41</v>
      </c>
      <c r="B261" t="s">
        <v>1102</v>
      </c>
      <c r="C261" s="1">
        <v>9322371000164</v>
      </c>
      <c r="D261" t="s">
        <v>1103</v>
      </c>
      <c r="E261" t="s">
        <v>1104</v>
      </c>
      <c r="F261" t="s">
        <v>20</v>
      </c>
      <c r="G261">
        <v>58411450</v>
      </c>
      <c r="H261" t="s">
        <v>67</v>
      </c>
      <c r="I261" t="s">
        <v>1105</v>
      </c>
      <c r="J261" t="s">
        <v>56</v>
      </c>
      <c r="K261">
        <v>6</v>
      </c>
      <c r="L261">
        <v>24</v>
      </c>
      <c r="M261">
        <v>2031</v>
      </c>
      <c r="N261" t="s">
        <v>47</v>
      </c>
      <c r="O261" s="5">
        <f>DATE(Tabela1[[#This Row],[vigencia ano]],Tabela1[[#This Row],[vigencia mês]],Tabela1[[#This Row],[vigencia dia]])</f>
        <v>48554</v>
      </c>
    </row>
    <row r="262" spans="1:15" x14ac:dyDescent="0.25">
      <c r="A262" t="s">
        <v>41</v>
      </c>
      <c r="B262" t="s">
        <v>1106</v>
      </c>
      <c r="C262" s="1">
        <v>5990052000176</v>
      </c>
      <c r="D262" t="s">
        <v>1107</v>
      </c>
      <c r="E262" t="s">
        <v>1108</v>
      </c>
      <c r="F262" t="s">
        <v>20</v>
      </c>
      <c r="G262">
        <v>58865000</v>
      </c>
      <c r="H262" t="s">
        <v>1109</v>
      </c>
      <c r="I262" t="s">
        <v>1110</v>
      </c>
      <c r="J262" t="s">
        <v>56</v>
      </c>
      <c r="K262">
        <v>12</v>
      </c>
      <c r="L262">
        <v>27</v>
      </c>
      <c r="M262">
        <v>2029</v>
      </c>
      <c r="N262" t="s">
        <v>47</v>
      </c>
      <c r="O262" s="5">
        <f>DATE(Tabela1[[#This Row],[vigencia ano]],Tabela1[[#This Row],[vigencia mês]],Tabela1[[#This Row],[vigencia dia]])</f>
        <v>47919</v>
      </c>
    </row>
    <row r="263" spans="1:15" x14ac:dyDescent="0.25">
      <c r="A263" t="s">
        <v>41</v>
      </c>
      <c r="B263" t="s">
        <v>1111</v>
      </c>
      <c r="C263" s="1">
        <v>7995104000122</v>
      </c>
      <c r="D263" t="s">
        <v>1112</v>
      </c>
      <c r="E263" t="s">
        <v>1113</v>
      </c>
      <c r="F263" t="s">
        <v>21</v>
      </c>
      <c r="G263">
        <v>53990000</v>
      </c>
      <c r="H263" t="s">
        <v>1114</v>
      </c>
      <c r="I263" t="s">
        <v>1115</v>
      </c>
      <c r="J263" t="s">
        <v>56</v>
      </c>
      <c r="K263">
        <v>9</v>
      </c>
      <c r="L263">
        <v>25</v>
      </c>
      <c r="M263">
        <v>2035</v>
      </c>
      <c r="N263" t="s">
        <v>1116</v>
      </c>
      <c r="O263" s="5">
        <f>DATE(Tabela1[[#This Row],[vigencia ano]],Tabela1[[#This Row],[vigencia mês]],Tabela1[[#This Row],[vigencia dia]])</f>
        <v>50049</v>
      </c>
    </row>
    <row r="264" spans="1:15" x14ac:dyDescent="0.25">
      <c r="A264" t="s">
        <v>41</v>
      </c>
      <c r="B264" t="s">
        <v>1117</v>
      </c>
      <c r="C264" s="1">
        <v>6101470000128</v>
      </c>
      <c r="D264" t="s">
        <v>1118</v>
      </c>
      <c r="E264" t="s">
        <v>1119</v>
      </c>
      <c r="F264" t="s">
        <v>21</v>
      </c>
      <c r="G264">
        <v>55590000</v>
      </c>
      <c r="H264" t="s">
        <v>1120</v>
      </c>
      <c r="I264" t="s">
        <v>1121</v>
      </c>
      <c r="J264" t="s">
        <v>56</v>
      </c>
      <c r="K264">
        <v>1</v>
      </c>
      <c r="L264">
        <v>24</v>
      </c>
      <c r="M264">
        <v>2024</v>
      </c>
      <c r="N264" t="s">
        <v>47</v>
      </c>
      <c r="O264" s="5">
        <f>DATE(Tabela1[[#This Row],[vigencia ano]],Tabela1[[#This Row],[vigencia mês]],Tabela1[[#This Row],[vigencia dia]])</f>
        <v>45992</v>
      </c>
    </row>
    <row r="265" spans="1:15" x14ac:dyDescent="0.25">
      <c r="A265" t="s">
        <v>41</v>
      </c>
      <c r="B265" t="s">
        <v>1122</v>
      </c>
      <c r="C265" s="1">
        <v>14408651000120</v>
      </c>
      <c r="D265" t="s">
        <v>1123</v>
      </c>
      <c r="E265" t="s">
        <v>1124</v>
      </c>
      <c r="F265" t="s">
        <v>21</v>
      </c>
      <c r="G265">
        <v>54350195</v>
      </c>
      <c r="H265" t="s">
        <v>1125</v>
      </c>
      <c r="I265" t="s">
        <v>1126</v>
      </c>
      <c r="J265" t="s">
        <v>56</v>
      </c>
      <c r="K265">
        <v>9</v>
      </c>
      <c r="L265">
        <v>5</v>
      </c>
      <c r="M265">
        <v>2029</v>
      </c>
      <c r="N265" t="s">
        <v>47</v>
      </c>
      <c r="O265" s="5">
        <f>DATE(Tabela1[[#This Row],[vigencia ano]],Tabela1[[#This Row],[vigencia mês]],Tabela1[[#This Row],[vigencia dia]])</f>
        <v>47247</v>
      </c>
    </row>
    <row r="266" spans="1:15" x14ac:dyDescent="0.25">
      <c r="A266" t="s">
        <v>41</v>
      </c>
      <c r="B266" t="s">
        <v>1127</v>
      </c>
      <c r="C266" s="1">
        <v>12917053000150</v>
      </c>
      <c r="D266" t="s">
        <v>1128</v>
      </c>
      <c r="E266" t="s">
        <v>1124</v>
      </c>
      <c r="F266" t="s">
        <v>21</v>
      </c>
      <c r="G266">
        <v>54355057</v>
      </c>
      <c r="H266" t="s">
        <v>1129</v>
      </c>
      <c r="I266" t="s">
        <v>1130</v>
      </c>
      <c r="J266" t="s">
        <v>56</v>
      </c>
      <c r="K266">
        <v>4</v>
      </c>
      <c r="L266">
        <v>17</v>
      </c>
      <c r="M266">
        <v>2030</v>
      </c>
      <c r="N266" t="s">
        <v>47</v>
      </c>
      <c r="O266" s="5">
        <f>DATE(Tabela1[[#This Row],[vigencia ano]],Tabela1[[#This Row],[vigencia mês]],Tabela1[[#This Row],[vigencia dia]])</f>
        <v>47972</v>
      </c>
    </row>
    <row r="267" spans="1:15" x14ac:dyDescent="0.25">
      <c r="A267" t="s">
        <v>41</v>
      </c>
      <c r="B267" t="s">
        <v>1127</v>
      </c>
      <c r="C267" s="1">
        <v>12917053000150</v>
      </c>
      <c r="D267" t="s">
        <v>1128</v>
      </c>
      <c r="E267" t="s">
        <v>1124</v>
      </c>
      <c r="F267" t="s">
        <v>21</v>
      </c>
      <c r="G267">
        <v>54355057</v>
      </c>
      <c r="H267" t="s">
        <v>1131</v>
      </c>
      <c r="I267" t="s">
        <v>1130</v>
      </c>
      <c r="J267" t="s">
        <v>56</v>
      </c>
      <c r="K267">
        <v>4</v>
      </c>
      <c r="L267">
        <v>17</v>
      </c>
      <c r="M267">
        <v>2030</v>
      </c>
      <c r="N267" t="s">
        <v>47</v>
      </c>
      <c r="O267" s="5">
        <f>DATE(Tabela1[[#This Row],[vigencia ano]],Tabela1[[#This Row],[vigencia mês]],Tabela1[[#This Row],[vigencia dia]])</f>
        <v>47972</v>
      </c>
    </row>
    <row r="268" spans="1:15" x14ac:dyDescent="0.25">
      <c r="A268" t="s">
        <v>41</v>
      </c>
      <c r="B268" t="s">
        <v>1132</v>
      </c>
      <c r="C268" s="1">
        <v>10580938000181</v>
      </c>
      <c r="D268" t="s">
        <v>1133</v>
      </c>
      <c r="E268" t="s">
        <v>1124</v>
      </c>
      <c r="F268" t="s">
        <v>21</v>
      </c>
      <c r="G268">
        <v>54270165</v>
      </c>
      <c r="H268" t="s">
        <v>1134</v>
      </c>
      <c r="I268" t="s">
        <v>1135</v>
      </c>
      <c r="J268" t="s">
        <v>56</v>
      </c>
      <c r="K268">
        <v>1</v>
      </c>
      <c r="L268">
        <v>30</v>
      </c>
      <c r="M268">
        <v>2033</v>
      </c>
      <c r="N268" t="s">
        <v>47</v>
      </c>
      <c r="O268" s="5">
        <f>DATE(Tabela1[[#This Row],[vigencia ano]],Tabela1[[#This Row],[vigencia mês]],Tabela1[[#This Row],[vigencia dia]])</f>
        <v>49461</v>
      </c>
    </row>
    <row r="269" spans="1:15" x14ac:dyDescent="0.25">
      <c r="A269" t="s">
        <v>41</v>
      </c>
      <c r="B269" t="s">
        <v>1136</v>
      </c>
      <c r="C269" s="1">
        <v>17085624000151</v>
      </c>
      <c r="D269" t="s">
        <v>1137</v>
      </c>
      <c r="E269" t="s">
        <v>1124</v>
      </c>
      <c r="F269" t="s">
        <v>21</v>
      </c>
      <c r="G269">
        <v>54420010</v>
      </c>
      <c r="H269" t="s">
        <v>1138</v>
      </c>
      <c r="I269" t="s">
        <v>1139</v>
      </c>
      <c r="J269" t="s">
        <v>46</v>
      </c>
      <c r="K269">
        <v>7</v>
      </c>
      <c r="L269">
        <v>26</v>
      </c>
      <c r="M269">
        <v>2031</v>
      </c>
      <c r="N269" t="s">
        <v>47</v>
      </c>
      <c r="O269" s="5">
        <f>DATE(Tabela1[[#This Row],[vigencia ano]],Tabela1[[#This Row],[vigencia mês]],Tabela1[[#This Row],[vigencia dia]])</f>
        <v>48617</v>
      </c>
    </row>
    <row r="270" spans="1:15" x14ac:dyDescent="0.25">
      <c r="A270" t="s">
        <v>41</v>
      </c>
      <c r="B270" t="s">
        <v>1140</v>
      </c>
      <c r="C270" s="1">
        <v>3446513000119</v>
      </c>
      <c r="D270" t="s">
        <v>1141</v>
      </c>
      <c r="E270" t="s">
        <v>1142</v>
      </c>
      <c r="F270" t="s">
        <v>21</v>
      </c>
      <c r="G270">
        <v>53130000</v>
      </c>
      <c r="H270" t="s">
        <v>1143</v>
      </c>
      <c r="I270" t="s">
        <v>1144</v>
      </c>
      <c r="J270" t="s">
        <v>56</v>
      </c>
      <c r="K270">
        <v>6</v>
      </c>
      <c r="L270">
        <v>22</v>
      </c>
      <c r="M270">
        <v>2032</v>
      </c>
      <c r="N270" t="s">
        <v>47</v>
      </c>
      <c r="O270" s="5">
        <f>DATE(Tabela1[[#This Row],[vigencia ano]],Tabela1[[#This Row],[vigencia mês]],Tabela1[[#This Row],[vigencia dia]])</f>
        <v>48858</v>
      </c>
    </row>
    <row r="271" spans="1:15" x14ac:dyDescent="0.25">
      <c r="A271" t="s">
        <v>41</v>
      </c>
      <c r="B271" t="s">
        <v>1145</v>
      </c>
      <c r="C271" s="1">
        <v>2359445000198</v>
      </c>
      <c r="D271" t="s">
        <v>1146</v>
      </c>
      <c r="E271" t="s">
        <v>1147</v>
      </c>
      <c r="F271" t="s">
        <v>21</v>
      </c>
      <c r="G271">
        <v>51021190</v>
      </c>
      <c r="H271" t="s">
        <v>1148</v>
      </c>
      <c r="I271" t="s">
        <v>1149</v>
      </c>
      <c r="J271" t="s">
        <v>56</v>
      </c>
      <c r="K271">
        <v>5</v>
      </c>
      <c r="L271">
        <v>10</v>
      </c>
      <c r="M271">
        <v>2026</v>
      </c>
      <c r="N271" t="s">
        <v>47</v>
      </c>
      <c r="O271" s="5">
        <f>DATE(Tabela1[[#This Row],[vigencia ano]],Tabela1[[#This Row],[vigencia mês]],Tabela1[[#This Row],[vigencia dia]])</f>
        <v>46300</v>
      </c>
    </row>
    <row r="272" spans="1:15" x14ac:dyDescent="0.25">
      <c r="A272" t="s">
        <v>41</v>
      </c>
      <c r="B272" t="s">
        <v>1150</v>
      </c>
      <c r="C272" s="1">
        <v>7199061000179</v>
      </c>
      <c r="D272" t="s">
        <v>1151</v>
      </c>
      <c r="E272" t="s">
        <v>1147</v>
      </c>
      <c r="F272" t="s">
        <v>21</v>
      </c>
      <c r="G272">
        <v>51021130</v>
      </c>
      <c r="H272" t="s">
        <v>1152</v>
      </c>
      <c r="I272" t="s">
        <v>1153</v>
      </c>
      <c r="J272" t="s">
        <v>56</v>
      </c>
      <c r="K272">
        <v>2</v>
      </c>
      <c r="L272">
        <v>5</v>
      </c>
      <c r="M272">
        <v>2034</v>
      </c>
      <c r="N272" t="s">
        <v>47</v>
      </c>
      <c r="O272" s="5">
        <f>DATE(Tabela1[[#This Row],[vigencia ano]],Tabela1[[#This Row],[vigencia mês]],Tabela1[[#This Row],[vigencia dia]])</f>
        <v>49066</v>
      </c>
    </row>
    <row r="273" spans="1:15" x14ac:dyDescent="0.25">
      <c r="A273" t="s">
        <v>41</v>
      </c>
      <c r="B273" t="s">
        <v>1154</v>
      </c>
      <c r="C273" s="1">
        <v>8985178000140</v>
      </c>
      <c r="D273" t="s">
        <v>1155</v>
      </c>
      <c r="E273" t="s">
        <v>1147</v>
      </c>
      <c r="F273" t="s">
        <v>21</v>
      </c>
      <c r="G273">
        <v>50730120</v>
      </c>
      <c r="H273" t="s">
        <v>1156</v>
      </c>
      <c r="I273" t="s">
        <v>1157</v>
      </c>
      <c r="J273" t="s">
        <v>56</v>
      </c>
      <c r="K273">
        <v>9</v>
      </c>
      <c r="L273">
        <v>22</v>
      </c>
      <c r="M273">
        <v>2025</v>
      </c>
      <c r="N273" t="s">
        <v>47</v>
      </c>
      <c r="O273" s="5">
        <f>DATE(Tabela1[[#This Row],[vigencia ano]],Tabela1[[#This Row],[vigencia mês]],Tabela1[[#This Row],[vigencia dia]])</f>
        <v>46304</v>
      </c>
    </row>
    <row r="274" spans="1:15" x14ac:dyDescent="0.25">
      <c r="A274" t="s">
        <v>41</v>
      </c>
      <c r="B274" t="s">
        <v>1158</v>
      </c>
      <c r="C274" s="1">
        <v>29220783000109</v>
      </c>
      <c r="D274" t="s">
        <v>1159</v>
      </c>
      <c r="E274" t="s">
        <v>1147</v>
      </c>
      <c r="F274" t="s">
        <v>21</v>
      </c>
      <c r="G274">
        <v>51110000</v>
      </c>
      <c r="H274" t="s">
        <v>1160</v>
      </c>
      <c r="I274" t="s">
        <v>1161</v>
      </c>
      <c r="J274" t="s">
        <v>56</v>
      </c>
      <c r="K274">
        <v>10</v>
      </c>
      <c r="L274">
        <v>20</v>
      </c>
      <c r="M274">
        <v>2032</v>
      </c>
      <c r="N274" t="s">
        <v>47</v>
      </c>
      <c r="O274" s="5">
        <f>DATE(Tabela1[[#This Row],[vigencia ano]],Tabela1[[#This Row],[vigencia mês]],Tabela1[[#This Row],[vigencia dia]])</f>
        <v>48801</v>
      </c>
    </row>
    <row r="275" spans="1:15" x14ac:dyDescent="0.25">
      <c r="A275" t="s">
        <v>41</v>
      </c>
      <c r="B275" t="s">
        <v>1162</v>
      </c>
      <c r="C275" s="1">
        <v>35270346000194</v>
      </c>
      <c r="D275" t="s">
        <v>1163</v>
      </c>
      <c r="E275" t="s">
        <v>1147</v>
      </c>
      <c r="F275" t="s">
        <v>21</v>
      </c>
      <c r="G275">
        <v>51160280</v>
      </c>
      <c r="H275" t="s">
        <v>1164</v>
      </c>
      <c r="I275" t="s">
        <v>1165</v>
      </c>
      <c r="J275" t="s">
        <v>46</v>
      </c>
      <c r="K275">
        <v>6</v>
      </c>
      <c r="L275">
        <v>21</v>
      </c>
      <c r="M275">
        <v>2032</v>
      </c>
      <c r="N275" t="s">
        <v>47</v>
      </c>
      <c r="O275" s="5">
        <f>DATE(Tabela1[[#This Row],[vigencia ano]],Tabela1[[#This Row],[vigencia mês]],Tabela1[[#This Row],[vigencia dia]])</f>
        <v>48828</v>
      </c>
    </row>
    <row r="276" spans="1:15" x14ac:dyDescent="0.25">
      <c r="A276" t="s">
        <v>41</v>
      </c>
      <c r="B276" t="s">
        <v>1166</v>
      </c>
      <c r="C276" s="1">
        <v>10970887000102</v>
      </c>
      <c r="D276" t="s">
        <v>1167</v>
      </c>
      <c r="E276" t="s">
        <v>1147</v>
      </c>
      <c r="F276" t="s">
        <v>21</v>
      </c>
      <c r="G276">
        <v>51110000</v>
      </c>
      <c r="H276" t="s">
        <v>1168</v>
      </c>
      <c r="I276" t="s">
        <v>1169</v>
      </c>
      <c r="J276" t="s">
        <v>56</v>
      </c>
      <c r="K276">
        <v>8</v>
      </c>
      <c r="L276">
        <v>18</v>
      </c>
      <c r="M276">
        <v>2015</v>
      </c>
      <c r="N276" t="s">
        <v>47</v>
      </c>
      <c r="O276" s="5">
        <f>DATE(Tabela1[[#This Row],[vigencia ano]],Tabela1[[#This Row],[vigencia mês]],Tabela1[[#This Row],[vigencia dia]])</f>
        <v>42529</v>
      </c>
    </row>
    <row r="277" spans="1:15" x14ac:dyDescent="0.25">
      <c r="A277" t="s">
        <v>41</v>
      </c>
      <c r="B277" t="s">
        <v>1170</v>
      </c>
      <c r="C277" s="1">
        <v>1537428000130</v>
      </c>
      <c r="D277" t="s">
        <v>1171</v>
      </c>
      <c r="E277" t="s">
        <v>1147</v>
      </c>
      <c r="F277" t="s">
        <v>21</v>
      </c>
      <c r="G277">
        <v>50750050</v>
      </c>
      <c r="I277" t="s">
        <v>1172</v>
      </c>
      <c r="J277" t="s">
        <v>46</v>
      </c>
      <c r="K277">
        <v>11</v>
      </c>
      <c r="L277">
        <v>7</v>
      </c>
      <c r="M277">
        <v>2022</v>
      </c>
      <c r="N277" t="s">
        <v>47</v>
      </c>
      <c r="O277" s="5">
        <f>DATE(Tabela1[[#This Row],[vigencia ano]],Tabela1[[#This Row],[vigencia mês]],Tabela1[[#This Row],[vigencia dia]])</f>
        <v>44753</v>
      </c>
    </row>
    <row r="278" spans="1:15" x14ac:dyDescent="0.25">
      <c r="A278" t="s">
        <v>41</v>
      </c>
      <c r="B278" t="s">
        <v>1173</v>
      </c>
      <c r="C278" s="1">
        <v>21765067000197</v>
      </c>
      <c r="D278" t="s">
        <v>1174</v>
      </c>
      <c r="E278" t="s">
        <v>1147</v>
      </c>
      <c r="F278" t="s">
        <v>21</v>
      </c>
      <c r="G278">
        <v>51130115</v>
      </c>
      <c r="H278" t="s">
        <v>1175</v>
      </c>
      <c r="I278" t="s">
        <v>1176</v>
      </c>
      <c r="J278" t="s">
        <v>56</v>
      </c>
      <c r="K278">
        <v>12</v>
      </c>
      <c r="L278">
        <v>27</v>
      </c>
      <c r="M278">
        <v>2031</v>
      </c>
      <c r="N278" t="s">
        <v>47</v>
      </c>
      <c r="O278" s="5">
        <f>DATE(Tabela1[[#This Row],[vigencia ano]],Tabela1[[#This Row],[vigencia mês]],Tabela1[[#This Row],[vigencia dia]])</f>
        <v>48650</v>
      </c>
    </row>
    <row r="279" spans="1:15" x14ac:dyDescent="0.25">
      <c r="A279" t="s">
        <v>41</v>
      </c>
      <c r="B279" t="s">
        <v>1177</v>
      </c>
      <c r="C279" s="1">
        <v>29219812000104</v>
      </c>
      <c r="D279" t="s">
        <v>1178</v>
      </c>
      <c r="E279" t="s">
        <v>1147</v>
      </c>
      <c r="F279" t="s">
        <v>21</v>
      </c>
      <c r="G279">
        <v>51220000</v>
      </c>
      <c r="H279" t="s">
        <v>1179</v>
      </c>
      <c r="I279" t="s">
        <v>1180</v>
      </c>
      <c r="J279" t="s">
        <v>56</v>
      </c>
      <c r="K279">
        <v>9</v>
      </c>
      <c r="L279">
        <v>19</v>
      </c>
      <c r="M279">
        <v>2034</v>
      </c>
      <c r="N279" t="s">
        <v>47</v>
      </c>
      <c r="O279" s="5">
        <f>DATE(Tabela1[[#This Row],[vigencia ano]],Tabela1[[#This Row],[vigencia mês]],Tabela1[[#This Row],[vigencia dia]])</f>
        <v>49499</v>
      </c>
    </row>
    <row r="280" spans="1:15" x14ac:dyDescent="0.25">
      <c r="A280" t="s">
        <v>41</v>
      </c>
      <c r="B280" t="s">
        <v>1181</v>
      </c>
      <c r="C280" s="1">
        <v>8745465000183</v>
      </c>
      <c r="D280" t="s">
        <v>1182</v>
      </c>
      <c r="E280" t="s">
        <v>1147</v>
      </c>
      <c r="F280" t="s">
        <v>21</v>
      </c>
      <c r="G280">
        <v>50030310</v>
      </c>
      <c r="H280" t="s">
        <v>1183</v>
      </c>
      <c r="I280" t="s">
        <v>1184</v>
      </c>
      <c r="J280" t="s">
        <v>56</v>
      </c>
      <c r="K280">
        <v>9</v>
      </c>
      <c r="L280">
        <v>15</v>
      </c>
      <c r="M280">
        <v>2033</v>
      </c>
      <c r="N280" t="s">
        <v>47</v>
      </c>
      <c r="O280" s="5">
        <f>DATE(Tabela1[[#This Row],[vigencia ano]],Tabela1[[#This Row],[vigencia mês]],Tabela1[[#This Row],[vigencia dia]])</f>
        <v>49012</v>
      </c>
    </row>
    <row r="281" spans="1:15" x14ac:dyDescent="0.25">
      <c r="A281" t="s">
        <v>41</v>
      </c>
      <c r="B281" t="s">
        <v>1185</v>
      </c>
      <c r="C281" s="1">
        <v>7775361000159</v>
      </c>
      <c r="D281" t="s">
        <v>1186</v>
      </c>
      <c r="E281" t="s">
        <v>1147</v>
      </c>
      <c r="F281" t="s">
        <v>21</v>
      </c>
      <c r="G281">
        <v>51020350</v>
      </c>
      <c r="H281" t="s">
        <v>1187</v>
      </c>
      <c r="I281" t="s">
        <v>1188</v>
      </c>
      <c r="J281" t="s">
        <v>56</v>
      </c>
      <c r="K281">
        <v>7</v>
      </c>
      <c r="L281">
        <v>16</v>
      </c>
      <c r="M281">
        <v>2024</v>
      </c>
      <c r="N281" t="s">
        <v>47</v>
      </c>
      <c r="O281" s="5">
        <f>DATE(Tabela1[[#This Row],[vigencia ano]],Tabela1[[#This Row],[vigencia mês]],Tabela1[[#This Row],[vigencia dia]])</f>
        <v>45754</v>
      </c>
    </row>
    <row r="282" spans="1:15" x14ac:dyDescent="0.25">
      <c r="A282" t="s">
        <v>41</v>
      </c>
      <c r="B282" t="s">
        <v>1189</v>
      </c>
      <c r="C282" s="1">
        <v>24718688000108</v>
      </c>
      <c r="D282" t="s">
        <v>1190</v>
      </c>
      <c r="E282" t="s">
        <v>1147</v>
      </c>
      <c r="F282" t="s">
        <v>21</v>
      </c>
      <c r="G282">
        <v>51190740</v>
      </c>
      <c r="H282" t="s">
        <v>1191</v>
      </c>
      <c r="I282" t="s">
        <v>1192</v>
      </c>
      <c r="J282" t="s">
        <v>56</v>
      </c>
      <c r="K282">
        <v>12</v>
      </c>
      <c r="L282">
        <v>10</v>
      </c>
      <c r="M282">
        <v>2028</v>
      </c>
      <c r="N282" t="s">
        <v>47</v>
      </c>
      <c r="O282" s="5">
        <f>DATE(Tabela1[[#This Row],[vigencia ano]],Tabela1[[#This Row],[vigencia mês]],Tabela1[[#This Row],[vigencia dia]])</f>
        <v>47038</v>
      </c>
    </row>
    <row r="283" spans="1:15" x14ac:dyDescent="0.25">
      <c r="A283" t="s">
        <v>41</v>
      </c>
      <c r="B283" t="s">
        <v>1193</v>
      </c>
      <c r="C283" s="1">
        <v>69907541000102</v>
      </c>
      <c r="D283" t="s">
        <v>1194</v>
      </c>
      <c r="E283" t="s">
        <v>1147</v>
      </c>
      <c r="F283" t="s">
        <v>21</v>
      </c>
      <c r="G283">
        <v>51200250</v>
      </c>
      <c r="H283" t="s">
        <v>1195</v>
      </c>
      <c r="I283" t="s">
        <v>1196</v>
      </c>
      <c r="J283" t="s">
        <v>56</v>
      </c>
      <c r="K283">
        <v>5</v>
      </c>
      <c r="L283">
        <v>9</v>
      </c>
      <c r="M283">
        <v>2029</v>
      </c>
      <c r="N283" t="s">
        <v>47</v>
      </c>
      <c r="O283" s="5">
        <f>DATE(Tabela1[[#This Row],[vigencia ano]],Tabela1[[#This Row],[vigencia mês]],Tabela1[[#This Row],[vigencia dia]])</f>
        <v>47366</v>
      </c>
    </row>
    <row r="284" spans="1:15" x14ac:dyDescent="0.25">
      <c r="A284" t="s">
        <v>41</v>
      </c>
      <c r="B284" t="s">
        <v>1197</v>
      </c>
      <c r="C284" s="1">
        <v>8769549000157</v>
      </c>
      <c r="D284" t="s">
        <v>1198</v>
      </c>
      <c r="E284" t="s">
        <v>1147</v>
      </c>
      <c r="F284" t="s">
        <v>21</v>
      </c>
      <c r="G284">
        <v>51020280</v>
      </c>
      <c r="H284" t="s">
        <v>1199</v>
      </c>
      <c r="I284" t="s">
        <v>1200</v>
      </c>
      <c r="J284" t="s">
        <v>46</v>
      </c>
      <c r="K284">
        <v>11</v>
      </c>
      <c r="L284">
        <v>18</v>
      </c>
      <c r="M284">
        <v>2035</v>
      </c>
      <c r="N284" t="s">
        <v>1201</v>
      </c>
      <c r="O284" s="5">
        <f>DATE(Tabela1[[#This Row],[vigencia ano]],Tabela1[[#This Row],[vigencia mês]],Tabela1[[#This Row],[vigencia dia]])</f>
        <v>49837</v>
      </c>
    </row>
    <row r="285" spans="1:15" x14ac:dyDescent="0.25">
      <c r="A285" t="s">
        <v>41</v>
      </c>
      <c r="B285" t="s">
        <v>1202</v>
      </c>
      <c r="C285" s="1">
        <v>35364161000149</v>
      </c>
      <c r="D285" t="s">
        <v>1203</v>
      </c>
      <c r="E285" t="s">
        <v>1204</v>
      </c>
      <c r="F285" t="s">
        <v>22</v>
      </c>
      <c r="G285">
        <v>49052140</v>
      </c>
      <c r="H285" t="s">
        <v>1205</v>
      </c>
      <c r="I285" t="s">
        <v>1206</v>
      </c>
      <c r="J285" t="s">
        <v>56</v>
      </c>
      <c r="K285">
        <v>2</v>
      </c>
      <c r="L285">
        <v>12</v>
      </c>
      <c r="M285">
        <v>2035</v>
      </c>
      <c r="N285" t="s">
        <v>1207</v>
      </c>
      <c r="O285" s="5">
        <f>DATE(Tabela1[[#This Row],[vigencia ano]],Tabela1[[#This Row],[vigencia mês]],Tabela1[[#This Row],[vigencia dia]])</f>
        <v>49645</v>
      </c>
    </row>
    <row r="286" spans="1:15" x14ac:dyDescent="0.25">
      <c r="A286" t="s">
        <v>41</v>
      </c>
      <c r="B286" t="s">
        <v>1208</v>
      </c>
      <c r="C286" s="1">
        <v>4633195000168</v>
      </c>
      <c r="D286" t="s">
        <v>1209</v>
      </c>
      <c r="E286" t="s">
        <v>1204</v>
      </c>
      <c r="F286" t="s">
        <v>22</v>
      </c>
      <c r="G286">
        <v>49095000</v>
      </c>
      <c r="H286" t="s">
        <v>1210</v>
      </c>
      <c r="I286" t="s">
        <v>1211</v>
      </c>
      <c r="J286" t="s">
        <v>56</v>
      </c>
      <c r="K286">
        <v>3</v>
      </c>
      <c r="L286">
        <v>8</v>
      </c>
      <c r="M286">
        <v>2023</v>
      </c>
      <c r="N286" t="s">
        <v>47</v>
      </c>
      <c r="O286" s="5">
        <f>DATE(Tabela1[[#This Row],[vigencia ano]],Tabela1[[#This Row],[vigencia mês]],Tabela1[[#This Row],[vigencia dia]])</f>
        <v>45141</v>
      </c>
    </row>
    <row r="287" spans="1:15" x14ac:dyDescent="0.25">
      <c r="A287" t="s">
        <v>41</v>
      </c>
      <c r="B287" t="s">
        <v>1212</v>
      </c>
      <c r="C287" s="1">
        <v>16066888000103</v>
      </c>
      <c r="D287" t="s">
        <v>1213</v>
      </c>
      <c r="E287" t="s">
        <v>1214</v>
      </c>
      <c r="F287" t="s">
        <v>23</v>
      </c>
      <c r="G287">
        <v>42800970</v>
      </c>
      <c r="H287" t="s">
        <v>1215</v>
      </c>
      <c r="I287" t="s">
        <v>1216</v>
      </c>
      <c r="J287" t="s">
        <v>56</v>
      </c>
      <c r="K287">
        <v>10</v>
      </c>
      <c r="L287">
        <v>5</v>
      </c>
      <c r="M287">
        <v>2027</v>
      </c>
      <c r="N287" t="s">
        <v>47</v>
      </c>
      <c r="O287" s="5">
        <f>DATE(Tabela1[[#This Row],[vigencia ano]],Tabela1[[#This Row],[vigencia mês]],Tabela1[[#This Row],[vigencia dia]])</f>
        <v>46517</v>
      </c>
    </row>
    <row r="288" spans="1:15" x14ac:dyDescent="0.25">
      <c r="A288" t="s">
        <v>41</v>
      </c>
      <c r="B288" t="s">
        <v>1217</v>
      </c>
      <c r="C288" s="1">
        <v>9070341000108</v>
      </c>
      <c r="D288" t="s">
        <v>1218</v>
      </c>
      <c r="E288" t="s">
        <v>1219</v>
      </c>
      <c r="F288" t="s">
        <v>23</v>
      </c>
      <c r="G288">
        <v>48110000</v>
      </c>
      <c r="H288" t="s">
        <v>1220</v>
      </c>
      <c r="I288" t="s">
        <v>1221</v>
      </c>
      <c r="J288" t="s">
        <v>56</v>
      </c>
      <c r="K288">
        <v>2</v>
      </c>
      <c r="L288">
        <v>20</v>
      </c>
      <c r="M288">
        <v>2036</v>
      </c>
      <c r="N288" t="s">
        <v>1222</v>
      </c>
      <c r="O288" s="5">
        <f>DATE(Tabela1[[#This Row],[vigencia ano]],Tabela1[[#This Row],[vigencia mês]],Tabela1[[#This Row],[vigencia dia]])</f>
        <v>50254</v>
      </c>
    </row>
    <row r="289" spans="1:15" x14ac:dyDescent="0.25">
      <c r="A289" t="s">
        <v>41</v>
      </c>
      <c r="B289" t="s">
        <v>1223</v>
      </c>
      <c r="C289" s="1">
        <v>7377407000181</v>
      </c>
      <c r="D289" t="s">
        <v>1224</v>
      </c>
      <c r="E289" t="s">
        <v>1225</v>
      </c>
      <c r="F289" t="s">
        <v>23</v>
      </c>
      <c r="G289">
        <v>45600201</v>
      </c>
      <c r="H289" t="s">
        <v>1226</v>
      </c>
      <c r="I289" t="s">
        <v>1227</v>
      </c>
      <c r="J289" t="s">
        <v>56</v>
      </c>
      <c r="K289">
        <v>9</v>
      </c>
      <c r="L289">
        <v>12</v>
      </c>
      <c r="M289">
        <v>2028</v>
      </c>
      <c r="N289" t="s">
        <v>47</v>
      </c>
      <c r="O289" s="5">
        <f>DATE(Tabela1[[#This Row],[vigencia ano]],Tabela1[[#This Row],[vigencia mês]],Tabela1[[#This Row],[vigencia dia]])</f>
        <v>47096</v>
      </c>
    </row>
    <row r="290" spans="1:15" x14ac:dyDescent="0.25">
      <c r="A290" t="s">
        <v>41</v>
      </c>
      <c r="B290" t="s">
        <v>1228</v>
      </c>
      <c r="C290" s="1">
        <v>29763291000151</v>
      </c>
      <c r="D290" t="s">
        <v>1229</v>
      </c>
      <c r="E290" t="s">
        <v>1230</v>
      </c>
      <c r="F290" t="s">
        <v>23</v>
      </c>
      <c r="G290">
        <v>42700540</v>
      </c>
      <c r="H290" t="s">
        <v>1231</v>
      </c>
      <c r="I290" t="s">
        <v>1232</v>
      </c>
      <c r="J290" t="s">
        <v>56</v>
      </c>
      <c r="K290">
        <v>5</v>
      </c>
      <c r="L290">
        <v>2</v>
      </c>
      <c r="M290">
        <v>2033</v>
      </c>
      <c r="N290" t="s">
        <v>47</v>
      </c>
      <c r="O290" s="5">
        <f>DATE(Tabela1[[#This Row],[vigencia ano]],Tabela1[[#This Row],[vigencia mês]],Tabela1[[#This Row],[vigencia dia]])</f>
        <v>48615</v>
      </c>
    </row>
    <row r="291" spans="1:15" x14ac:dyDescent="0.25">
      <c r="A291" t="s">
        <v>41</v>
      </c>
      <c r="B291" t="s">
        <v>1233</v>
      </c>
      <c r="C291" s="1">
        <v>13441729000145</v>
      </c>
      <c r="D291" t="s">
        <v>1234</v>
      </c>
      <c r="E291" t="s">
        <v>1235</v>
      </c>
      <c r="F291" t="s">
        <v>23</v>
      </c>
      <c r="G291">
        <v>47850000</v>
      </c>
      <c r="H291" t="s">
        <v>1236</v>
      </c>
      <c r="I291" t="s">
        <v>1237</v>
      </c>
      <c r="J291" t="s">
        <v>56</v>
      </c>
      <c r="K291">
        <v>9</v>
      </c>
      <c r="L291">
        <v>29</v>
      </c>
      <c r="M291">
        <v>2035</v>
      </c>
      <c r="N291" t="s">
        <v>1238</v>
      </c>
      <c r="O291" s="5">
        <f>DATE(Tabela1[[#This Row],[vigencia ano]],Tabela1[[#This Row],[vigencia mês]],Tabela1[[#This Row],[vigencia dia]])</f>
        <v>50169</v>
      </c>
    </row>
    <row r="292" spans="1:15" x14ac:dyDescent="0.25">
      <c r="A292" t="s">
        <v>41</v>
      </c>
      <c r="B292" t="s">
        <v>1239</v>
      </c>
      <c r="C292" s="1">
        <v>21190096000178</v>
      </c>
      <c r="D292" t="s">
        <v>1240</v>
      </c>
      <c r="E292" t="s">
        <v>1241</v>
      </c>
      <c r="F292" t="s">
        <v>23</v>
      </c>
      <c r="G292">
        <v>46800000</v>
      </c>
      <c r="H292" t="s">
        <v>1242</v>
      </c>
      <c r="I292" t="s">
        <v>1243</v>
      </c>
      <c r="J292" t="s">
        <v>56</v>
      </c>
      <c r="K292">
        <v>9</v>
      </c>
      <c r="L292">
        <v>22</v>
      </c>
      <c r="M292">
        <v>2025</v>
      </c>
      <c r="N292" t="s">
        <v>47</v>
      </c>
      <c r="O292" s="5">
        <f>DATE(Tabela1[[#This Row],[vigencia ano]],Tabela1[[#This Row],[vigencia mês]],Tabela1[[#This Row],[vigencia dia]])</f>
        <v>46304</v>
      </c>
    </row>
    <row r="293" spans="1:15" x14ac:dyDescent="0.25">
      <c r="A293" t="s">
        <v>41</v>
      </c>
      <c r="B293" t="s">
        <v>1244</v>
      </c>
      <c r="C293" s="1">
        <v>8301904000169</v>
      </c>
      <c r="D293" t="s">
        <v>1245</v>
      </c>
      <c r="E293" t="s">
        <v>1246</v>
      </c>
      <c r="F293" t="s">
        <v>23</v>
      </c>
      <c r="G293">
        <v>41230025</v>
      </c>
      <c r="H293" t="s">
        <v>1247</v>
      </c>
      <c r="I293" t="s">
        <v>1248</v>
      </c>
      <c r="J293" t="s">
        <v>56</v>
      </c>
      <c r="K293">
        <v>8</v>
      </c>
      <c r="L293">
        <v>1</v>
      </c>
      <c r="M293">
        <v>2023</v>
      </c>
      <c r="N293" t="s">
        <v>47</v>
      </c>
      <c r="O293" s="5">
        <f>DATE(Tabela1[[#This Row],[vigencia ano]],Tabela1[[#This Row],[vigencia mês]],Tabela1[[#This Row],[vigencia dia]])</f>
        <v>44934</v>
      </c>
    </row>
    <row r="294" spans="1:15" x14ac:dyDescent="0.25">
      <c r="A294" t="s">
        <v>41</v>
      </c>
      <c r="B294" t="s">
        <v>1249</v>
      </c>
      <c r="C294" s="1">
        <v>16314791000164</v>
      </c>
      <c r="D294" t="s">
        <v>1250</v>
      </c>
      <c r="E294" t="s">
        <v>1246</v>
      </c>
      <c r="F294" t="s">
        <v>23</v>
      </c>
      <c r="G294">
        <v>41180005</v>
      </c>
      <c r="H294" t="s">
        <v>1251</v>
      </c>
      <c r="I294" t="s">
        <v>1252</v>
      </c>
      <c r="J294" t="s">
        <v>46</v>
      </c>
      <c r="K294">
        <v>11</v>
      </c>
      <c r="L294">
        <v>29</v>
      </c>
      <c r="M294">
        <v>2021</v>
      </c>
      <c r="N294" t="s">
        <v>47</v>
      </c>
      <c r="O294" s="5">
        <f>DATE(Tabela1[[#This Row],[vigencia ano]],Tabela1[[#This Row],[vigencia mês]],Tabela1[[#This Row],[vigencia dia]])</f>
        <v>45057</v>
      </c>
    </row>
    <row r="295" spans="1:15" x14ac:dyDescent="0.25">
      <c r="A295" t="s">
        <v>41</v>
      </c>
      <c r="B295" t="s">
        <v>1253</v>
      </c>
      <c r="C295" s="1">
        <v>3867580000107</v>
      </c>
      <c r="D295" t="s">
        <v>1254</v>
      </c>
      <c r="E295" t="s">
        <v>1246</v>
      </c>
      <c r="F295" t="s">
        <v>23</v>
      </c>
      <c r="G295">
        <v>41280117</v>
      </c>
      <c r="H295" t="s">
        <v>1255</v>
      </c>
      <c r="I295" t="s">
        <v>1256</v>
      </c>
      <c r="J295" t="s">
        <v>56</v>
      </c>
      <c r="K295">
        <v>1</v>
      </c>
      <c r="L295">
        <v>27</v>
      </c>
      <c r="M295">
        <v>2033</v>
      </c>
      <c r="N295" t="s">
        <v>47</v>
      </c>
      <c r="O295" s="5">
        <f>DATE(Tabela1[[#This Row],[vigencia ano]],Tabela1[[#This Row],[vigencia mês]],Tabela1[[#This Row],[vigencia dia]])</f>
        <v>49369</v>
      </c>
    </row>
    <row r="296" spans="1:15" x14ac:dyDescent="0.25">
      <c r="A296" t="s">
        <v>41</v>
      </c>
      <c r="B296" t="s">
        <v>1257</v>
      </c>
      <c r="C296" s="1">
        <v>10592109000119</v>
      </c>
      <c r="D296" t="s">
        <v>1258</v>
      </c>
      <c r="E296" t="s">
        <v>1246</v>
      </c>
      <c r="F296" t="s">
        <v>23</v>
      </c>
      <c r="G296">
        <v>41730101</v>
      </c>
      <c r="H296" t="s">
        <v>1259</v>
      </c>
      <c r="I296" t="s">
        <v>1260</v>
      </c>
      <c r="J296" t="s">
        <v>56</v>
      </c>
      <c r="K296">
        <v>7</v>
      </c>
      <c r="L296">
        <v>5</v>
      </c>
      <c r="M296">
        <v>2028</v>
      </c>
      <c r="N296" t="s">
        <v>47</v>
      </c>
      <c r="O296" s="5">
        <f>DATE(Tabela1[[#This Row],[vigencia ano]],Tabela1[[#This Row],[vigencia mês]],Tabela1[[#This Row],[vigencia dia]])</f>
        <v>46880</v>
      </c>
    </row>
    <row r="297" spans="1:15" x14ac:dyDescent="0.25">
      <c r="A297" t="s">
        <v>41</v>
      </c>
      <c r="B297" t="s">
        <v>1261</v>
      </c>
      <c r="C297" s="1">
        <v>11258473000100</v>
      </c>
      <c r="D297" t="s">
        <v>1262</v>
      </c>
      <c r="E297" t="s">
        <v>1246</v>
      </c>
      <c r="F297" t="s">
        <v>23</v>
      </c>
      <c r="G297">
        <v>41233020</v>
      </c>
      <c r="H297" t="s">
        <v>1263</v>
      </c>
      <c r="I297" t="s">
        <v>1264</v>
      </c>
      <c r="J297" t="s">
        <v>56</v>
      </c>
      <c r="K297">
        <v>4</v>
      </c>
      <c r="L297">
        <v>17</v>
      </c>
      <c r="M297">
        <v>2030</v>
      </c>
      <c r="N297" t="s">
        <v>47</v>
      </c>
      <c r="O297" s="5">
        <f>DATE(Tabela1[[#This Row],[vigencia ano]],Tabela1[[#This Row],[vigencia mês]],Tabela1[[#This Row],[vigencia dia]])</f>
        <v>47972</v>
      </c>
    </row>
    <row r="298" spans="1:15" x14ac:dyDescent="0.25">
      <c r="A298" t="s">
        <v>41</v>
      </c>
      <c r="B298" t="s">
        <v>1265</v>
      </c>
      <c r="C298" s="1">
        <v>9652056000103</v>
      </c>
      <c r="D298" t="s">
        <v>1266</v>
      </c>
      <c r="E298" t="s">
        <v>1246</v>
      </c>
      <c r="F298" t="s">
        <v>23</v>
      </c>
      <c r="G298">
        <v>40275000</v>
      </c>
      <c r="H298" t="s">
        <v>1267</v>
      </c>
      <c r="I298" t="s">
        <v>1268</v>
      </c>
      <c r="J298" t="s">
        <v>56</v>
      </c>
      <c r="K298">
        <v>9</v>
      </c>
      <c r="L298">
        <v>10</v>
      </c>
      <c r="M298">
        <v>2023</v>
      </c>
      <c r="N298" t="s">
        <v>47</v>
      </c>
      <c r="O298" s="5">
        <f>DATE(Tabela1[[#This Row],[vigencia ano]],Tabela1[[#This Row],[vigencia mês]],Tabela1[[#This Row],[vigencia dia]])</f>
        <v>45208</v>
      </c>
    </row>
    <row r="299" spans="1:15" x14ac:dyDescent="0.25">
      <c r="A299" t="s">
        <v>41</v>
      </c>
      <c r="B299" t="s">
        <v>1269</v>
      </c>
      <c r="C299" s="1">
        <v>25100223000151</v>
      </c>
      <c r="D299" t="s">
        <v>1270</v>
      </c>
      <c r="E299" t="s">
        <v>1246</v>
      </c>
      <c r="F299" t="s">
        <v>23</v>
      </c>
      <c r="G299">
        <v>41305280</v>
      </c>
      <c r="H299" t="s">
        <v>1271</v>
      </c>
      <c r="I299" t="s">
        <v>1272</v>
      </c>
      <c r="J299" t="s">
        <v>56</v>
      </c>
      <c r="K299">
        <v>5</v>
      </c>
      <c r="L299">
        <v>31</v>
      </c>
      <c r="M299">
        <v>2022</v>
      </c>
      <c r="N299" t="s">
        <v>47</v>
      </c>
      <c r="O299" s="5">
        <f>DATE(Tabela1[[#This Row],[vigencia ano]],Tabela1[[#This Row],[vigencia mês]],Tabela1[[#This Row],[vigencia dia]])</f>
        <v>45478</v>
      </c>
    </row>
    <row r="300" spans="1:15" x14ac:dyDescent="0.25">
      <c r="A300" t="s">
        <v>41</v>
      </c>
      <c r="B300" t="s">
        <v>1273</v>
      </c>
      <c r="C300" s="1">
        <v>22625698000173</v>
      </c>
      <c r="D300" t="s">
        <v>1274</v>
      </c>
      <c r="E300" t="s">
        <v>1246</v>
      </c>
      <c r="F300" t="s">
        <v>23</v>
      </c>
      <c r="G300">
        <v>42510220</v>
      </c>
      <c r="H300" t="s">
        <v>1275</v>
      </c>
      <c r="I300" t="s">
        <v>1276</v>
      </c>
      <c r="J300" t="s">
        <v>56</v>
      </c>
      <c r="K300">
        <v>3</v>
      </c>
      <c r="L300">
        <v>4</v>
      </c>
      <c r="M300">
        <v>2030</v>
      </c>
      <c r="N300" t="s">
        <v>47</v>
      </c>
      <c r="O300" s="5">
        <f>DATE(Tabela1[[#This Row],[vigencia ano]],Tabela1[[#This Row],[vigencia mês]],Tabela1[[#This Row],[vigencia dia]])</f>
        <v>47576</v>
      </c>
    </row>
    <row r="301" spans="1:15" x14ac:dyDescent="0.25">
      <c r="A301" t="s">
        <v>41</v>
      </c>
      <c r="B301" t="s">
        <v>1273</v>
      </c>
      <c r="C301" s="1">
        <v>22625698000173</v>
      </c>
      <c r="D301" t="s">
        <v>1274</v>
      </c>
      <c r="E301" t="s">
        <v>1246</v>
      </c>
      <c r="F301" t="s">
        <v>23</v>
      </c>
      <c r="G301">
        <v>42510220</v>
      </c>
      <c r="H301" t="s">
        <v>1277</v>
      </c>
      <c r="I301" t="s">
        <v>1276</v>
      </c>
      <c r="J301" t="s">
        <v>56</v>
      </c>
      <c r="K301">
        <v>3</v>
      </c>
      <c r="L301">
        <v>4</v>
      </c>
      <c r="M301">
        <v>2030</v>
      </c>
      <c r="N301" t="s">
        <v>47</v>
      </c>
      <c r="O301" s="5">
        <f>DATE(Tabela1[[#This Row],[vigencia ano]],Tabela1[[#This Row],[vigencia mês]],Tabela1[[#This Row],[vigencia dia]])</f>
        <v>47576</v>
      </c>
    </row>
    <row r="302" spans="1:15" x14ac:dyDescent="0.25">
      <c r="A302" t="s">
        <v>41</v>
      </c>
      <c r="B302" t="s">
        <v>1278</v>
      </c>
      <c r="C302" s="1">
        <v>23909392000101</v>
      </c>
      <c r="D302" t="s">
        <v>1279</v>
      </c>
      <c r="E302" t="s">
        <v>1246</v>
      </c>
      <c r="F302" t="s">
        <v>23</v>
      </c>
      <c r="G302">
        <v>41730101</v>
      </c>
      <c r="H302" t="s">
        <v>1280</v>
      </c>
      <c r="I302" t="s">
        <v>1281</v>
      </c>
      <c r="J302" t="s">
        <v>46</v>
      </c>
      <c r="K302">
        <v>10</v>
      </c>
      <c r="L302">
        <v>7</v>
      </c>
      <c r="M302">
        <v>2034</v>
      </c>
      <c r="N302" t="s">
        <v>47</v>
      </c>
      <c r="O302" s="5">
        <f>DATE(Tabela1[[#This Row],[vigencia ano]],Tabela1[[#This Row],[vigencia mês]],Tabela1[[#This Row],[vigencia dia]])</f>
        <v>49135</v>
      </c>
    </row>
    <row r="303" spans="1:15" x14ac:dyDescent="0.25">
      <c r="A303" t="s">
        <v>41</v>
      </c>
      <c r="B303" t="s">
        <v>1282</v>
      </c>
      <c r="C303" s="1">
        <v>42994724000148</v>
      </c>
      <c r="D303" t="s">
        <v>1283</v>
      </c>
      <c r="E303" t="s">
        <v>1246</v>
      </c>
      <c r="F303" t="s">
        <v>23</v>
      </c>
      <c r="G303">
        <v>41820021</v>
      </c>
      <c r="H303" t="s">
        <v>1284</v>
      </c>
      <c r="I303" t="s">
        <v>1285</v>
      </c>
      <c r="J303" t="s">
        <v>56</v>
      </c>
      <c r="K303">
        <v>10</v>
      </c>
      <c r="L303">
        <v>26</v>
      </c>
      <c r="M303">
        <v>2033</v>
      </c>
      <c r="N303" t="s">
        <v>47</v>
      </c>
      <c r="O303" s="5">
        <f>DATE(Tabela1[[#This Row],[vigencia ano]],Tabela1[[#This Row],[vigencia mês]],Tabela1[[#This Row],[vigencia dia]])</f>
        <v>49350</v>
      </c>
    </row>
    <row r="304" spans="1:15" x14ac:dyDescent="0.25">
      <c r="A304" t="s">
        <v>41</v>
      </c>
      <c r="B304" t="s">
        <v>1286</v>
      </c>
      <c r="C304" s="1">
        <v>96825575000112</v>
      </c>
      <c r="D304" t="s">
        <v>1287</v>
      </c>
      <c r="E304" t="s">
        <v>1246</v>
      </c>
      <c r="F304" t="s">
        <v>23</v>
      </c>
      <c r="G304">
        <v>40460130</v>
      </c>
      <c r="H304" t="s">
        <v>1288</v>
      </c>
      <c r="I304" t="s">
        <v>1289</v>
      </c>
      <c r="J304" t="s">
        <v>56</v>
      </c>
      <c r="K304">
        <v>12</v>
      </c>
      <c r="L304">
        <v>28</v>
      </c>
      <c r="M304">
        <v>2015</v>
      </c>
      <c r="N304" t="s">
        <v>47</v>
      </c>
      <c r="O304" s="5">
        <f>DATE(Tabela1[[#This Row],[vigencia ano]],Tabela1[[#This Row],[vigencia mês]],Tabela1[[#This Row],[vigencia dia]])</f>
        <v>42837</v>
      </c>
    </row>
    <row r="305" spans="1:15" x14ac:dyDescent="0.25">
      <c r="A305" t="s">
        <v>41</v>
      </c>
      <c r="B305" t="s">
        <v>1290</v>
      </c>
      <c r="C305" s="1">
        <v>17327576000160</v>
      </c>
      <c r="D305" t="s">
        <v>1291</v>
      </c>
      <c r="E305" t="s">
        <v>1246</v>
      </c>
      <c r="F305" t="s">
        <v>23</v>
      </c>
      <c r="G305">
        <v>41301520</v>
      </c>
      <c r="H305" t="s">
        <v>1292</v>
      </c>
      <c r="I305" t="s">
        <v>1293</v>
      </c>
      <c r="J305" t="s">
        <v>56</v>
      </c>
      <c r="K305">
        <v>11</v>
      </c>
      <c r="L305">
        <v>11</v>
      </c>
      <c r="M305">
        <v>2023</v>
      </c>
      <c r="N305" t="s">
        <v>47</v>
      </c>
      <c r="O305" s="5">
        <f>DATE(Tabela1[[#This Row],[vigencia ano]],Tabela1[[#This Row],[vigencia mês]],Tabela1[[#This Row],[vigencia dia]])</f>
        <v>45241</v>
      </c>
    </row>
    <row r="306" spans="1:15" x14ac:dyDescent="0.25">
      <c r="A306" t="s">
        <v>41</v>
      </c>
      <c r="B306" t="s">
        <v>1294</v>
      </c>
      <c r="C306" s="1">
        <v>9444141000178</v>
      </c>
      <c r="D306" t="s">
        <v>1295</v>
      </c>
      <c r="E306" t="s">
        <v>1246</v>
      </c>
      <c r="F306" t="s">
        <v>23</v>
      </c>
      <c r="G306">
        <v>41820020</v>
      </c>
      <c r="H306" t="s">
        <v>1296</v>
      </c>
      <c r="I306" t="s">
        <v>1297</v>
      </c>
      <c r="J306" t="s">
        <v>46</v>
      </c>
      <c r="K306">
        <v>12</v>
      </c>
      <c r="L306">
        <v>14</v>
      </c>
      <c r="M306">
        <v>2030</v>
      </c>
      <c r="N306" t="s">
        <v>47</v>
      </c>
      <c r="O306" s="5">
        <f>DATE(Tabela1[[#This Row],[vigencia ano]],Tabela1[[#This Row],[vigencia mês]],Tabela1[[#This Row],[vigencia dia]])</f>
        <v>47891</v>
      </c>
    </row>
    <row r="307" spans="1:15" x14ac:dyDescent="0.25">
      <c r="A307" t="s">
        <v>41</v>
      </c>
      <c r="B307" t="s">
        <v>1298</v>
      </c>
      <c r="C307" s="1">
        <v>15565840000179</v>
      </c>
      <c r="D307" t="s">
        <v>1299</v>
      </c>
      <c r="E307" t="s">
        <v>1246</v>
      </c>
      <c r="F307" t="s">
        <v>23</v>
      </c>
      <c r="G307">
        <v>41100000</v>
      </c>
      <c r="H307" t="s">
        <v>1300</v>
      </c>
      <c r="I307" t="s">
        <v>1301</v>
      </c>
      <c r="J307" t="s">
        <v>56</v>
      </c>
      <c r="K307">
        <v>5</v>
      </c>
      <c r="L307">
        <v>12</v>
      </c>
      <c r="M307">
        <v>2025</v>
      </c>
      <c r="N307" t="s">
        <v>47</v>
      </c>
      <c r="O307" s="5">
        <f>DATE(Tabela1[[#This Row],[vigencia ano]],Tabela1[[#This Row],[vigencia mês]],Tabela1[[#This Row],[vigencia dia]])</f>
        <v>45996</v>
      </c>
    </row>
    <row r="308" spans="1:15" x14ac:dyDescent="0.25">
      <c r="A308" t="s">
        <v>41</v>
      </c>
      <c r="B308" t="s">
        <v>1302</v>
      </c>
      <c r="C308" s="1">
        <v>24717921000138</v>
      </c>
      <c r="D308" t="s">
        <v>1303</v>
      </c>
      <c r="E308" t="s">
        <v>1246</v>
      </c>
      <c r="F308" t="s">
        <v>23</v>
      </c>
      <c r="G308">
        <v>41730101</v>
      </c>
      <c r="H308" t="s">
        <v>1304</v>
      </c>
      <c r="I308" t="s">
        <v>1305</v>
      </c>
      <c r="J308" t="s">
        <v>56</v>
      </c>
      <c r="K308">
        <v>8</v>
      </c>
      <c r="L308">
        <v>4</v>
      </c>
      <c r="M308">
        <v>2031</v>
      </c>
      <c r="N308" t="s">
        <v>47</v>
      </c>
      <c r="O308" s="5">
        <f>DATE(Tabela1[[#This Row],[vigencia ano]],Tabela1[[#This Row],[vigencia mês]],Tabela1[[#This Row],[vigencia dia]])</f>
        <v>47946</v>
      </c>
    </row>
    <row r="309" spans="1:15" x14ac:dyDescent="0.25">
      <c r="A309" t="s">
        <v>41</v>
      </c>
      <c r="B309" t="s">
        <v>1306</v>
      </c>
      <c r="C309" s="1">
        <v>12900846000167</v>
      </c>
      <c r="D309" t="s">
        <v>1307</v>
      </c>
      <c r="E309" t="s">
        <v>1246</v>
      </c>
      <c r="F309" t="s">
        <v>23</v>
      </c>
      <c r="G309">
        <v>40375017</v>
      </c>
      <c r="H309" t="s">
        <v>1308</v>
      </c>
      <c r="I309" t="s">
        <v>1309</v>
      </c>
      <c r="J309" t="s">
        <v>46</v>
      </c>
      <c r="K309">
        <v>9</v>
      </c>
      <c r="L309">
        <v>12</v>
      </c>
      <c r="M309">
        <v>2028</v>
      </c>
      <c r="N309" t="s">
        <v>47</v>
      </c>
      <c r="O309" s="5">
        <f>DATE(Tabela1[[#This Row],[vigencia ano]],Tabela1[[#This Row],[vigencia mês]],Tabela1[[#This Row],[vigencia dia]])</f>
        <v>47096</v>
      </c>
    </row>
    <row r="310" spans="1:15" x14ac:dyDescent="0.25">
      <c r="A310" t="s">
        <v>41</v>
      </c>
      <c r="B310" t="s">
        <v>1310</v>
      </c>
      <c r="C310" s="1">
        <v>20155999000155</v>
      </c>
      <c r="D310" t="s">
        <v>1311</v>
      </c>
      <c r="E310" t="s">
        <v>1312</v>
      </c>
      <c r="F310" t="s">
        <v>23</v>
      </c>
      <c r="G310">
        <v>43700000</v>
      </c>
      <c r="H310" t="s">
        <v>1313</v>
      </c>
      <c r="I310" t="s">
        <v>1314</v>
      </c>
      <c r="J310" t="s">
        <v>46</v>
      </c>
      <c r="K310">
        <v>9</v>
      </c>
      <c r="L310">
        <v>12</v>
      </c>
      <c r="M310">
        <v>2028</v>
      </c>
      <c r="N310" t="s">
        <v>47</v>
      </c>
      <c r="O310" s="5">
        <f>DATE(Tabela1[[#This Row],[vigencia ano]],Tabela1[[#This Row],[vigencia mês]],Tabela1[[#This Row],[vigencia dia]])</f>
        <v>47096</v>
      </c>
    </row>
    <row r="311" spans="1:15" x14ac:dyDescent="0.25">
      <c r="A311" t="s">
        <v>41</v>
      </c>
      <c r="B311" t="s">
        <v>1315</v>
      </c>
      <c r="C311" s="1">
        <v>32625733000108</v>
      </c>
      <c r="D311" t="s">
        <v>1316</v>
      </c>
      <c r="E311" t="s">
        <v>1312</v>
      </c>
      <c r="F311" t="s">
        <v>23</v>
      </c>
      <c r="G311">
        <v>43700000</v>
      </c>
      <c r="H311" t="s">
        <v>1317</v>
      </c>
      <c r="I311" t="s">
        <v>1318</v>
      </c>
      <c r="J311" t="s">
        <v>46</v>
      </c>
      <c r="K311">
        <v>8</v>
      </c>
      <c r="L311">
        <v>17</v>
      </c>
      <c r="M311">
        <v>2015</v>
      </c>
      <c r="N311" t="s">
        <v>47</v>
      </c>
      <c r="O311" s="5">
        <f>DATE(Tabela1[[#This Row],[vigencia ano]],Tabela1[[#This Row],[vigencia mês]],Tabela1[[#This Row],[vigencia dia]])</f>
        <v>42498</v>
      </c>
    </row>
    <row r="312" spans="1:15" x14ac:dyDescent="0.25">
      <c r="A312" t="s">
        <v>41</v>
      </c>
      <c r="B312" t="s">
        <v>1319</v>
      </c>
      <c r="C312" s="1">
        <v>13332013000100</v>
      </c>
      <c r="D312" t="s">
        <v>1320</v>
      </c>
      <c r="E312" t="s">
        <v>1312</v>
      </c>
      <c r="F312" t="s">
        <v>23</v>
      </c>
      <c r="G312">
        <v>43700000</v>
      </c>
      <c r="H312" t="s">
        <v>1255</v>
      </c>
      <c r="I312" t="s">
        <v>1321</v>
      </c>
      <c r="J312" t="s">
        <v>56</v>
      </c>
      <c r="K312">
        <v>6</v>
      </c>
      <c r="L312">
        <v>18</v>
      </c>
      <c r="M312">
        <v>2029</v>
      </c>
      <c r="N312" t="s">
        <v>47</v>
      </c>
      <c r="O312" s="5">
        <f>DATE(Tabela1[[#This Row],[vigencia ano]],Tabela1[[#This Row],[vigencia mês]],Tabela1[[#This Row],[vigencia dia]])</f>
        <v>47640</v>
      </c>
    </row>
    <row r="313" spans="1:15" x14ac:dyDescent="0.25">
      <c r="A313" t="s">
        <v>41</v>
      </c>
      <c r="B313" t="s">
        <v>1322</v>
      </c>
      <c r="C313" s="1">
        <v>15101228000145</v>
      </c>
      <c r="D313" t="s">
        <v>1323</v>
      </c>
      <c r="E313" t="s">
        <v>1312</v>
      </c>
      <c r="F313" t="s">
        <v>23</v>
      </c>
      <c r="G313">
        <v>43700000</v>
      </c>
      <c r="H313" t="s">
        <v>1324</v>
      </c>
      <c r="I313" t="s">
        <v>1325</v>
      </c>
      <c r="J313" t="s">
        <v>56</v>
      </c>
      <c r="K313">
        <v>12</v>
      </c>
      <c r="L313">
        <v>13</v>
      </c>
      <c r="M313">
        <v>2028</v>
      </c>
      <c r="N313" t="s">
        <v>47</v>
      </c>
      <c r="O313" s="5">
        <f>DATE(Tabela1[[#This Row],[vigencia ano]],Tabela1[[#This Row],[vigencia mês]],Tabela1[[#This Row],[vigencia dia]])</f>
        <v>47130</v>
      </c>
    </row>
    <row r="314" spans="1:15" x14ac:dyDescent="0.25">
      <c r="A314" t="s">
        <v>41</v>
      </c>
      <c r="B314" t="s">
        <v>1326</v>
      </c>
      <c r="C314" s="1">
        <v>12147259000149</v>
      </c>
      <c r="D314" t="s">
        <v>1327</v>
      </c>
      <c r="E314" t="s">
        <v>1312</v>
      </c>
      <c r="F314" t="s">
        <v>23</v>
      </c>
      <c r="G314">
        <v>43700000</v>
      </c>
      <c r="H314" t="s">
        <v>1328</v>
      </c>
      <c r="I314" t="s">
        <v>1329</v>
      </c>
      <c r="J314" t="s">
        <v>56</v>
      </c>
      <c r="K314">
        <v>2</v>
      </c>
      <c r="L314">
        <v>15</v>
      </c>
      <c r="M314">
        <v>2033</v>
      </c>
      <c r="N314" t="s">
        <v>47</v>
      </c>
      <c r="O314" s="5">
        <f>DATE(Tabela1[[#This Row],[vigencia ano]],Tabela1[[#This Row],[vigencia mês]],Tabela1[[#This Row],[vigencia dia]])</f>
        <v>49005</v>
      </c>
    </row>
    <row r="315" spans="1:15" x14ac:dyDescent="0.25">
      <c r="A315" t="s">
        <v>41</v>
      </c>
      <c r="B315" t="s">
        <v>1330</v>
      </c>
      <c r="C315" s="1">
        <v>28492544000137</v>
      </c>
      <c r="D315" t="s">
        <v>1331</v>
      </c>
      <c r="E315" t="s">
        <v>1332</v>
      </c>
      <c r="F315" t="s">
        <v>24</v>
      </c>
      <c r="G315">
        <v>30350093</v>
      </c>
      <c r="H315" t="s">
        <v>1333</v>
      </c>
      <c r="I315" t="s">
        <v>1334</v>
      </c>
      <c r="J315" t="s">
        <v>56</v>
      </c>
      <c r="K315">
        <v>3</v>
      </c>
      <c r="L315">
        <v>8</v>
      </c>
      <c r="M315">
        <v>2027</v>
      </c>
      <c r="N315" t="s">
        <v>47</v>
      </c>
      <c r="O315" s="5">
        <f>DATE(Tabela1[[#This Row],[vigencia ano]],Tabela1[[#This Row],[vigencia mês]],Tabela1[[#This Row],[vigencia dia]])</f>
        <v>46602</v>
      </c>
    </row>
    <row r="316" spans="1:15" x14ac:dyDescent="0.25">
      <c r="A316" t="s">
        <v>41</v>
      </c>
      <c r="B316" t="s">
        <v>1335</v>
      </c>
      <c r="C316" s="1">
        <v>8294859000162</v>
      </c>
      <c r="D316" t="s">
        <v>1336</v>
      </c>
      <c r="E316" t="s">
        <v>1332</v>
      </c>
      <c r="F316" t="s">
        <v>24</v>
      </c>
      <c r="G316">
        <v>30320670</v>
      </c>
      <c r="H316" t="s">
        <v>1337</v>
      </c>
      <c r="I316" t="s">
        <v>1338</v>
      </c>
      <c r="J316" t="s">
        <v>56</v>
      </c>
      <c r="K316">
        <v>9</v>
      </c>
      <c r="L316">
        <v>23</v>
      </c>
      <c r="M316">
        <v>2020</v>
      </c>
      <c r="N316" t="s">
        <v>47</v>
      </c>
      <c r="O316" s="5">
        <f>DATE(Tabela1[[#This Row],[vigencia ano]],Tabela1[[#This Row],[vigencia mês]],Tabela1[[#This Row],[vigencia dia]])</f>
        <v>44509</v>
      </c>
    </row>
    <row r="317" spans="1:15" x14ac:dyDescent="0.25">
      <c r="A317" t="s">
        <v>41</v>
      </c>
      <c r="B317" t="s">
        <v>1339</v>
      </c>
      <c r="C317" s="1">
        <v>8775225000121</v>
      </c>
      <c r="D317" t="s">
        <v>1340</v>
      </c>
      <c r="E317" t="s">
        <v>1332</v>
      </c>
      <c r="F317" t="s">
        <v>24</v>
      </c>
      <c r="G317">
        <v>30130151</v>
      </c>
      <c r="H317" t="s">
        <v>1341</v>
      </c>
      <c r="I317" t="s">
        <v>1342</v>
      </c>
      <c r="J317" t="s">
        <v>56</v>
      </c>
      <c r="K317">
        <v>6</v>
      </c>
      <c r="L317">
        <v>28</v>
      </c>
      <c r="M317">
        <v>2026</v>
      </c>
      <c r="N317" t="s">
        <v>47</v>
      </c>
      <c r="O317" s="5">
        <f>DATE(Tabela1[[#This Row],[vigencia ano]],Tabela1[[#This Row],[vigencia mês]],Tabela1[[#This Row],[vigencia dia]])</f>
        <v>46849</v>
      </c>
    </row>
    <row r="318" spans="1:15" x14ac:dyDescent="0.25">
      <c r="A318" t="s">
        <v>41</v>
      </c>
      <c r="B318" t="s">
        <v>1343</v>
      </c>
      <c r="C318" s="1">
        <v>71154462000101</v>
      </c>
      <c r="D318" t="s">
        <v>1344</v>
      </c>
      <c r="E318" t="s">
        <v>1332</v>
      </c>
      <c r="F318" t="s">
        <v>24</v>
      </c>
      <c r="G318">
        <v>30520150</v>
      </c>
      <c r="H318" t="s">
        <v>1345</v>
      </c>
      <c r="I318" t="s">
        <v>1346</v>
      </c>
      <c r="J318" t="s">
        <v>56</v>
      </c>
      <c r="K318">
        <v>11</v>
      </c>
      <c r="L318">
        <v>7</v>
      </c>
      <c r="M318">
        <v>2022</v>
      </c>
      <c r="N318" t="s">
        <v>47</v>
      </c>
      <c r="O318" s="5">
        <f>DATE(Tabela1[[#This Row],[vigencia ano]],Tabela1[[#This Row],[vigencia mês]],Tabela1[[#This Row],[vigencia dia]])</f>
        <v>44753</v>
      </c>
    </row>
    <row r="319" spans="1:15" x14ac:dyDescent="0.25">
      <c r="A319" t="s">
        <v>41</v>
      </c>
      <c r="B319" t="s">
        <v>1347</v>
      </c>
      <c r="C319" s="1">
        <v>11949412000199</v>
      </c>
      <c r="D319" t="s">
        <v>1348</v>
      </c>
      <c r="E319" t="s">
        <v>1332</v>
      </c>
      <c r="F319" t="s">
        <v>24</v>
      </c>
      <c r="G319">
        <v>31365203</v>
      </c>
      <c r="H319" t="s">
        <v>1349</v>
      </c>
      <c r="I319" t="s">
        <v>1350</v>
      </c>
      <c r="J319" t="s">
        <v>56</v>
      </c>
      <c r="K319">
        <v>7</v>
      </c>
      <c r="L319">
        <v>9</v>
      </c>
      <c r="M319">
        <v>2025</v>
      </c>
      <c r="N319" t="s">
        <v>47</v>
      </c>
      <c r="O319" s="5">
        <f>DATE(Tabela1[[#This Row],[vigencia ano]],Tabela1[[#This Row],[vigencia mês]],Tabela1[[#This Row],[vigencia dia]])</f>
        <v>45907</v>
      </c>
    </row>
    <row r="320" spans="1:15" x14ac:dyDescent="0.25">
      <c r="A320" t="s">
        <v>41</v>
      </c>
      <c r="B320" t="s">
        <v>1351</v>
      </c>
      <c r="C320" s="1">
        <v>3220264000149</v>
      </c>
      <c r="D320" t="s">
        <v>1352</v>
      </c>
      <c r="E320" t="s">
        <v>1332</v>
      </c>
      <c r="F320" t="s">
        <v>24</v>
      </c>
      <c r="G320">
        <v>31155290</v>
      </c>
      <c r="H320" t="s">
        <v>1353</v>
      </c>
      <c r="I320" t="s">
        <v>1354</v>
      </c>
      <c r="J320" t="s">
        <v>56</v>
      </c>
      <c r="K320">
        <v>6</v>
      </c>
      <c r="L320">
        <v>8</v>
      </c>
      <c r="M320">
        <v>2027</v>
      </c>
      <c r="N320" t="s">
        <v>47</v>
      </c>
      <c r="O320" s="5">
        <f>DATE(Tabela1[[#This Row],[vigencia ano]],Tabela1[[#This Row],[vigencia mês]],Tabela1[[#This Row],[vigencia dia]])</f>
        <v>46605</v>
      </c>
    </row>
    <row r="321" spans="1:15" x14ac:dyDescent="0.25">
      <c r="A321" t="s">
        <v>41</v>
      </c>
      <c r="B321" t="s">
        <v>1355</v>
      </c>
      <c r="C321" s="1">
        <v>5763642000166</v>
      </c>
      <c r="D321" t="s">
        <v>1356</v>
      </c>
      <c r="E321" t="s">
        <v>1332</v>
      </c>
      <c r="F321" t="s">
        <v>24</v>
      </c>
      <c r="G321">
        <v>30390080</v>
      </c>
      <c r="H321" t="s">
        <v>1357</v>
      </c>
      <c r="I321" t="s">
        <v>1358</v>
      </c>
      <c r="J321" t="s">
        <v>46</v>
      </c>
      <c r="K321">
        <v>11</v>
      </c>
      <c r="L321">
        <v>16</v>
      </c>
      <c r="M321">
        <v>2016</v>
      </c>
      <c r="N321" t="s">
        <v>47</v>
      </c>
      <c r="O321" s="5">
        <f>DATE(Tabela1[[#This Row],[vigencia ano]],Tabela1[[#This Row],[vigencia mês]],Tabela1[[#This Row],[vigencia dia]])</f>
        <v>42836</v>
      </c>
    </row>
    <row r="322" spans="1:15" x14ac:dyDescent="0.25">
      <c r="A322" t="s">
        <v>41</v>
      </c>
      <c r="B322" t="s">
        <v>1359</v>
      </c>
      <c r="C322" s="1">
        <v>14625425000109</v>
      </c>
      <c r="D322" t="s">
        <v>1360</v>
      </c>
      <c r="E322" t="s">
        <v>1332</v>
      </c>
      <c r="F322" t="s">
        <v>24</v>
      </c>
      <c r="G322">
        <v>31260230</v>
      </c>
      <c r="H322" t="s">
        <v>1361</v>
      </c>
      <c r="I322" t="s">
        <v>1362</v>
      </c>
      <c r="J322" t="s">
        <v>56</v>
      </c>
      <c r="K322">
        <v>8</v>
      </c>
      <c r="L322">
        <v>21</v>
      </c>
      <c r="M322">
        <v>2028</v>
      </c>
      <c r="N322" t="s">
        <v>47</v>
      </c>
      <c r="O322" s="5">
        <f>DATE(Tabela1[[#This Row],[vigencia ano]],Tabela1[[#This Row],[vigencia mês]],Tabela1[[#This Row],[vigencia dia]])</f>
        <v>47369</v>
      </c>
    </row>
    <row r="323" spans="1:15" x14ac:dyDescent="0.25">
      <c r="A323" t="s">
        <v>41</v>
      </c>
      <c r="B323" t="s">
        <v>1363</v>
      </c>
      <c r="C323" s="1">
        <v>3777357000179</v>
      </c>
      <c r="D323" t="s">
        <v>1364</v>
      </c>
      <c r="E323" t="s">
        <v>1332</v>
      </c>
      <c r="F323" t="s">
        <v>24</v>
      </c>
      <c r="G323">
        <v>31030105</v>
      </c>
      <c r="H323" t="s">
        <v>1365</v>
      </c>
      <c r="I323" t="s">
        <v>1366</v>
      </c>
      <c r="J323" t="s">
        <v>56</v>
      </c>
      <c r="K323">
        <v>1</v>
      </c>
      <c r="L323">
        <v>27</v>
      </c>
      <c r="M323">
        <v>2024</v>
      </c>
      <c r="N323" t="s">
        <v>47</v>
      </c>
      <c r="O323" s="5">
        <f>DATE(Tabela1[[#This Row],[vigencia ano]],Tabela1[[#This Row],[vigencia mês]],Tabela1[[#This Row],[vigencia dia]])</f>
        <v>46082</v>
      </c>
    </row>
    <row r="324" spans="1:15" x14ac:dyDescent="0.25">
      <c r="A324" t="s">
        <v>41</v>
      </c>
      <c r="B324" t="s">
        <v>1367</v>
      </c>
      <c r="C324" s="1">
        <v>4915315000110</v>
      </c>
      <c r="D324" t="s">
        <v>1368</v>
      </c>
      <c r="E324" t="s">
        <v>1332</v>
      </c>
      <c r="F324" t="s">
        <v>24</v>
      </c>
      <c r="G324">
        <v>30110044</v>
      </c>
      <c r="H324" t="s">
        <v>1369</v>
      </c>
      <c r="I324" t="s">
        <v>1370</v>
      </c>
      <c r="J324" t="s">
        <v>56</v>
      </c>
      <c r="K324">
        <v>4</v>
      </c>
      <c r="L324">
        <v>16</v>
      </c>
      <c r="M324">
        <v>2034</v>
      </c>
      <c r="N324" t="s">
        <v>47</v>
      </c>
      <c r="O324" s="5">
        <f>DATE(Tabela1[[#This Row],[vigencia ano]],Tabela1[[#This Row],[vigencia mês]],Tabela1[[#This Row],[vigencia dia]])</f>
        <v>49403</v>
      </c>
    </row>
    <row r="325" spans="1:15" x14ac:dyDescent="0.25">
      <c r="A325" t="s">
        <v>41</v>
      </c>
      <c r="B325" t="s">
        <v>1371</v>
      </c>
      <c r="C325" s="1">
        <v>17062517000108</v>
      </c>
      <c r="D325" t="s">
        <v>1372</v>
      </c>
      <c r="E325" t="s">
        <v>1332</v>
      </c>
      <c r="F325" t="s">
        <v>24</v>
      </c>
      <c r="G325">
        <v>30350570</v>
      </c>
      <c r="H325" t="s">
        <v>1373</v>
      </c>
      <c r="I325" t="s">
        <v>1374</v>
      </c>
      <c r="J325" t="s">
        <v>56</v>
      </c>
      <c r="K325">
        <v>8</v>
      </c>
      <c r="L325">
        <v>5</v>
      </c>
      <c r="M325">
        <v>2024</v>
      </c>
      <c r="N325" t="s">
        <v>47</v>
      </c>
      <c r="O325" s="5">
        <f>DATE(Tabela1[[#This Row],[vigencia ano]],Tabela1[[#This Row],[vigencia mês]],Tabela1[[#This Row],[vigencia dia]])</f>
        <v>45420</v>
      </c>
    </row>
    <row r="326" spans="1:15" x14ac:dyDescent="0.25">
      <c r="A326" t="s">
        <v>41</v>
      </c>
      <c r="B326" t="s">
        <v>1375</v>
      </c>
      <c r="C326" s="1">
        <v>7287199000120</v>
      </c>
      <c r="D326" t="s">
        <v>1376</v>
      </c>
      <c r="E326" t="s">
        <v>1332</v>
      </c>
      <c r="F326" t="s">
        <v>24</v>
      </c>
      <c r="G326">
        <v>30110090</v>
      </c>
      <c r="H326" t="s">
        <v>1377</v>
      </c>
      <c r="I326" t="s">
        <v>1378</v>
      </c>
      <c r="J326" t="s">
        <v>56</v>
      </c>
      <c r="K326">
        <v>8</v>
      </c>
      <c r="L326">
        <v>5</v>
      </c>
      <c r="M326">
        <v>2024</v>
      </c>
      <c r="N326" t="s">
        <v>47</v>
      </c>
      <c r="O326" s="5">
        <f>DATE(Tabela1[[#This Row],[vigencia ano]],Tabela1[[#This Row],[vigencia mês]],Tabela1[[#This Row],[vigencia dia]])</f>
        <v>45420</v>
      </c>
    </row>
    <row r="327" spans="1:15" x14ac:dyDescent="0.25">
      <c r="A327" t="s">
        <v>41</v>
      </c>
      <c r="B327" t="s">
        <v>1379</v>
      </c>
      <c r="C327" s="1">
        <v>25103257000108</v>
      </c>
      <c r="D327" t="s">
        <v>1380</v>
      </c>
      <c r="E327" t="s">
        <v>1332</v>
      </c>
      <c r="F327" t="s">
        <v>24</v>
      </c>
      <c r="G327">
        <v>30350093</v>
      </c>
      <c r="H327" t="s">
        <v>1333</v>
      </c>
      <c r="I327" t="s">
        <v>1381</v>
      </c>
      <c r="J327" t="s">
        <v>56</v>
      </c>
      <c r="K327">
        <v>3</v>
      </c>
      <c r="L327">
        <v>20</v>
      </c>
      <c r="M327">
        <v>2027</v>
      </c>
      <c r="N327" t="s">
        <v>47</v>
      </c>
      <c r="O327" s="5">
        <f>DATE(Tabela1[[#This Row],[vigencia ano]],Tabela1[[#This Row],[vigencia mês]],Tabela1[[#This Row],[vigencia dia]])</f>
        <v>46968</v>
      </c>
    </row>
    <row r="328" spans="1:15" x14ac:dyDescent="0.25">
      <c r="A328" t="s">
        <v>41</v>
      </c>
      <c r="B328" t="s">
        <v>1382</v>
      </c>
      <c r="C328" s="1">
        <v>6059373000114</v>
      </c>
      <c r="D328" t="s">
        <v>1383</v>
      </c>
      <c r="E328" t="s">
        <v>1332</v>
      </c>
      <c r="F328" t="s">
        <v>24</v>
      </c>
      <c r="G328">
        <v>31565020</v>
      </c>
      <c r="H328" t="s">
        <v>1384</v>
      </c>
      <c r="I328" t="s">
        <v>1385</v>
      </c>
      <c r="J328" t="s">
        <v>56</v>
      </c>
      <c r="K328">
        <v>12</v>
      </c>
      <c r="L328">
        <v>23</v>
      </c>
      <c r="M328">
        <v>2024</v>
      </c>
      <c r="N328" t="s">
        <v>47</v>
      </c>
      <c r="O328" s="5">
        <f>DATE(Tabela1[[#This Row],[vigencia ano]],Tabela1[[#This Row],[vigencia mês]],Tabela1[[#This Row],[vigencia dia]])</f>
        <v>45973</v>
      </c>
    </row>
    <row r="329" spans="1:15" x14ac:dyDescent="0.25">
      <c r="A329" t="s">
        <v>41</v>
      </c>
      <c r="B329" t="s">
        <v>1386</v>
      </c>
      <c r="C329" s="1">
        <v>4654218000110</v>
      </c>
      <c r="D329" t="s">
        <v>1387</v>
      </c>
      <c r="E329" t="s">
        <v>1332</v>
      </c>
      <c r="F329" t="s">
        <v>24</v>
      </c>
      <c r="G329">
        <v>31170545</v>
      </c>
      <c r="H329" t="s">
        <v>1388</v>
      </c>
      <c r="I329" t="s">
        <v>1389</v>
      </c>
      <c r="J329" t="s">
        <v>56</v>
      </c>
      <c r="K329">
        <v>5</v>
      </c>
      <c r="L329">
        <v>10</v>
      </c>
      <c r="M329">
        <v>2027</v>
      </c>
      <c r="N329" t="s">
        <v>47</v>
      </c>
      <c r="O329" s="5">
        <f>DATE(Tabela1[[#This Row],[vigencia ano]],Tabela1[[#This Row],[vigencia mês]],Tabela1[[#This Row],[vigencia dia]])</f>
        <v>46665</v>
      </c>
    </row>
    <row r="330" spans="1:15" x14ac:dyDescent="0.25">
      <c r="A330" t="s">
        <v>41</v>
      </c>
      <c r="B330" t="s">
        <v>1390</v>
      </c>
      <c r="C330" s="1">
        <v>18385794000114</v>
      </c>
      <c r="D330" t="s">
        <v>1391</v>
      </c>
      <c r="E330" t="s">
        <v>1332</v>
      </c>
      <c r="F330" t="s">
        <v>24</v>
      </c>
      <c r="G330">
        <v>31660100</v>
      </c>
      <c r="H330" t="s">
        <v>1392</v>
      </c>
      <c r="I330" t="s">
        <v>1393</v>
      </c>
      <c r="J330" t="s">
        <v>56</v>
      </c>
      <c r="K330">
        <v>1</v>
      </c>
      <c r="L330">
        <v>3</v>
      </c>
      <c r="M330">
        <v>2035</v>
      </c>
      <c r="N330" t="s">
        <v>47</v>
      </c>
      <c r="O330" s="5">
        <f>DATE(Tabela1[[#This Row],[vigencia ano]],Tabela1[[#This Row],[vigencia mês]],Tabela1[[#This Row],[vigencia dia]])</f>
        <v>49369</v>
      </c>
    </row>
    <row r="331" spans="1:15" x14ac:dyDescent="0.25">
      <c r="A331" t="s">
        <v>41</v>
      </c>
      <c r="B331" t="s">
        <v>1394</v>
      </c>
      <c r="C331" s="1">
        <v>66455536000100</v>
      </c>
      <c r="D331" t="s">
        <v>1395</v>
      </c>
      <c r="E331" t="s">
        <v>1332</v>
      </c>
      <c r="F331" t="s">
        <v>24</v>
      </c>
      <c r="G331">
        <v>31170545</v>
      </c>
      <c r="H331" t="s">
        <v>1396</v>
      </c>
      <c r="I331" t="s">
        <v>1397</v>
      </c>
      <c r="J331" t="s">
        <v>56</v>
      </c>
      <c r="K331">
        <v>1</v>
      </c>
      <c r="L331">
        <v>21</v>
      </c>
      <c r="M331">
        <v>2024</v>
      </c>
      <c r="N331" t="s">
        <v>47</v>
      </c>
      <c r="O331" s="5">
        <f>DATE(Tabela1[[#This Row],[vigencia ano]],Tabela1[[#This Row],[vigencia mês]],Tabela1[[#This Row],[vigencia dia]])</f>
        <v>45901</v>
      </c>
    </row>
    <row r="332" spans="1:15" x14ac:dyDescent="0.25">
      <c r="A332" t="s">
        <v>41</v>
      </c>
      <c r="B332" t="s">
        <v>1398</v>
      </c>
      <c r="C332" s="1">
        <v>9261302000198</v>
      </c>
      <c r="D332" t="s">
        <v>1399</v>
      </c>
      <c r="E332" t="s">
        <v>1332</v>
      </c>
      <c r="F332" t="s">
        <v>24</v>
      </c>
      <c r="G332">
        <v>30550430</v>
      </c>
      <c r="H332" t="s">
        <v>1400</v>
      </c>
      <c r="I332" t="s">
        <v>1401</v>
      </c>
      <c r="J332" t="s">
        <v>56</v>
      </c>
      <c r="K332">
        <v>3</v>
      </c>
      <c r="L332">
        <v>20</v>
      </c>
      <c r="M332">
        <v>2030</v>
      </c>
      <c r="N332" t="s">
        <v>47</v>
      </c>
      <c r="O332" s="5">
        <f>DATE(Tabela1[[#This Row],[vigencia ano]],Tabela1[[#This Row],[vigencia mês]],Tabela1[[#This Row],[vigencia dia]])</f>
        <v>48063</v>
      </c>
    </row>
    <row r="333" spans="1:15" x14ac:dyDescent="0.25">
      <c r="A333" t="s">
        <v>41</v>
      </c>
      <c r="B333" t="s">
        <v>1402</v>
      </c>
      <c r="C333" s="1">
        <v>30754601000150</v>
      </c>
      <c r="D333" t="s">
        <v>1403</v>
      </c>
      <c r="E333" t="s">
        <v>1332</v>
      </c>
      <c r="F333" t="s">
        <v>24</v>
      </c>
      <c r="G333">
        <v>30710530</v>
      </c>
      <c r="H333" t="s">
        <v>1404</v>
      </c>
      <c r="I333" t="s">
        <v>1405</v>
      </c>
      <c r="J333" t="s">
        <v>56</v>
      </c>
      <c r="K333">
        <v>2</v>
      </c>
      <c r="L333">
        <v>12</v>
      </c>
      <c r="M333">
        <v>2029</v>
      </c>
      <c r="N333" t="s">
        <v>47</v>
      </c>
      <c r="O333" s="5">
        <f>DATE(Tabela1[[#This Row],[vigencia ano]],Tabela1[[#This Row],[vigencia mês]],Tabela1[[#This Row],[vigencia dia]])</f>
        <v>47454</v>
      </c>
    </row>
    <row r="334" spans="1:15" x14ac:dyDescent="0.25">
      <c r="A334" t="s">
        <v>41</v>
      </c>
      <c r="B334" t="s">
        <v>1406</v>
      </c>
      <c r="C334" s="1">
        <v>7022330000127</v>
      </c>
      <c r="D334" t="s">
        <v>1407</v>
      </c>
      <c r="E334" t="s">
        <v>1332</v>
      </c>
      <c r="F334" t="s">
        <v>24</v>
      </c>
      <c r="G334">
        <v>30140092</v>
      </c>
      <c r="H334" t="s">
        <v>1408</v>
      </c>
      <c r="I334" t="s">
        <v>1409</v>
      </c>
      <c r="J334" t="s">
        <v>56</v>
      </c>
      <c r="K334">
        <v>1</v>
      </c>
      <c r="L334">
        <v>27</v>
      </c>
      <c r="M334">
        <v>2030</v>
      </c>
      <c r="N334" t="s">
        <v>47</v>
      </c>
      <c r="O334" s="5">
        <f>DATE(Tabela1[[#This Row],[vigencia ano]],Tabela1[[#This Row],[vigencia mês]],Tabela1[[#This Row],[vigencia dia]])</f>
        <v>48274</v>
      </c>
    </row>
    <row r="335" spans="1:15" x14ac:dyDescent="0.25">
      <c r="A335" t="s">
        <v>41</v>
      </c>
      <c r="B335" t="s">
        <v>1410</v>
      </c>
      <c r="C335" s="1">
        <v>7433647000156</v>
      </c>
      <c r="D335" t="s">
        <v>1411</v>
      </c>
      <c r="E335" t="s">
        <v>1332</v>
      </c>
      <c r="F335" t="s">
        <v>24</v>
      </c>
      <c r="G335">
        <v>30494270</v>
      </c>
      <c r="H335" t="s">
        <v>1412</v>
      </c>
      <c r="I335" t="s">
        <v>1413</v>
      </c>
      <c r="J335" t="s">
        <v>46</v>
      </c>
      <c r="K335">
        <v>11</v>
      </c>
      <c r="L335">
        <v>17</v>
      </c>
      <c r="M335">
        <v>2032</v>
      </c>
      <c r="N335" t="s">
        <v>47</v>
      </c>
      <c r="O335" s="5">
        <f>DATE(Tabela1[[#This Row],[vigencia ano]],Tabela1[[#This Row],[vigencia mês]],Tabela1[[#This Row],[vigencia dia]])</f>
        <v>48710</v>
      </c>
    </row>
    <row r="336" spans="1:15" x14ac:dyDescent="0.25">
      <c r="A336" t="s">
        <v>41</v>
      </c>
      <c r="B336" t="s">
        <v>1414</v>
      </c>
      <c r="C336" s="1">
        <v>42276907000128</v>
      </c>
      <c r="D336" t="s">
        <v>1415</v>
      </c>
      <c r="E336" t="s">
        <v>1332</v>
      </c>
      <c r="F336" t="s">
        <v>24</v>
      </c>
      <c r="G336">
        <v>30150904</v>
      </c>
      <c r="H336" t="s">
        <v>1416</v>
      </c>
      <c r="I336" t="s">
        <v>1417</v>
      </c>
      <c r="J336" t="s">
        <v>56</v>
      </c>
      <c r="K336">
        <v>6</v>
      </c>
      <c r="L336">
        <v>10</v>
      </c>
      <c r="M336">
        <v>2036</v>
      </c>
      <c r="N336" t="s">
        <v>1418</v>
      </c>
      <c r="O336" s="5">
        <f>DATE(Tabela1[[#This Row],[vigencia ano]],Tabela1[[#This Row],[vigencia mês]],Tabela1[[#This Row],[vigencia dia]])</f>
        <v>49954</v>
      </c>
    </row>
    <row r="337" spans="1:15" x14ac:dyDescent="0.25">
      <c r="A337" t="s">
        <v>41</v>
      </c>
      <c r="B337" t="s">
        <v>1414</v>
      </c>
      <c r="C337" s="1">
        <v>42276907000128</v>
      </c>
      <c r="D337" t="s">
        <v>1415</v>
      </c>
      <c r="E337" t="s">
        <v>1332</v>
      </c>
      <c r="F337" t="s">
        <v>24</v>
      </c>
      <c r="G337">
        <v>30150904</v>
      </c>
      <c r="H337" t="s">
        <v>1419</v>
      </c>
      <c r="I337" t="s">
        <v>1417</v>
      </c>
      <c r="J337" t="s">
        <v>56</v>
      </c>
      <c r="K337">
        <v>6</v>
      </c>
      <c r="L337">
        <v>10</v>
      </c>
      <c r="M337">
        <v>2036</v>
      </c>
      <c r="N337" t="s">
        <v>1418</v>
      </c>
      <c r="O337" s="5">
        <f>DATE(Tabela1[[#This Row],[vigencia ano]],Tabela1[[#This Row],[vigencia mês]],Tabela1[[#This Row],[vigencia dia]])</f>
        <v>49954</v>
      </c>
    </row>
    <row r="338" spans="1:15" x14ac:dyDescent="0.25">
      <c r="A338" t="s">
        <v>41</v>
      </c>
      <c r="B338" t="s">
        <v>1420</v>
      </c>
      <c r="C338" s="1">
        <v>50811709000145</v>
      </c>
      <c r="D338" t="s">
        <v>1421</v>
      </c>
      <c r="E338" t="s">
        <v>1332</v>
      </c>
      <c r="F338" t="s">
        <v>24</v>
      </c>
      <c r="G338">
        <v>30494310</v>
      </c>
      <c r="H338" t="s">
        <v>1422</v>
      </c>
      <c r="I338" t="s">
        <v>1423</v>
      </c>
      <c r="J338" t="s">
        <v>56</v>
      </c>
      <c r="K338">
        <v>10</v>
      </c>
      <c r="L338">
        <v>21</v>
      </c>
      <c r="M338">
        <v>2035</v>
      </c>
      <c r="N338" t="s">
        <v>1424</v>
      </c>
      <c r="O338" s="5">
        <f>DATE(Tabela1[[#This Row],[vigencia ano]],Tabela1[[#This Row],[vigencia mês]],Tabela1[[#This Row],[vigencia dia]])</f>
        <v>49928</v>
      </c>
    </row>
    <row r="339" spans="1:15" x14ac:dyDescent="0.25">
      <c r="A339" t="s">
        <v>41</v>
      </c>
      <c r="B339" t="s">
        <v>1425</v>
      </c>
      <c r="C339" s="1">
        <v>13642117000110</v>
      </c>
      <c r="D339" t="s">
        <v>1426</v>
      </c>
      <c r="E339" t="s">
        <v>1332</v>
      </c>
      <c r="F339" t="s">
        <v>24</v>
      </c>
      <c r="G339">
        <v>31260250</v>
      </c>
      <c r="H339" t="s">
        <v>1427</v>
      </c>
      <c r="I339" t="s">
        <v>1428</v>
      </c>
      <c r="J339" t="s">
        <v>56</v>
      </c>
      <c r="K339">
        <v>5</v>
      </c>
      <c r="L339">
        <v>13</v>
      </c>
      <c r="M339">
        <v>2035</v>
      </c>
      <c r="N339" t="s">
        <v>1429</v>
      </c>
      <c r="O339" s="5">
        <f>DATE(Tabela1[[#This Row],[vigencia ano]],Tabela1[[#This Row],[vigencia mês]],Tabela1[[#This Row],[vigencia dia]])</f>
        <v>49679</v>
      </c>
    </row>
    <row r="340" spans="1:15" x14ac:dyDescent="0.25">
      <c r="A340" t="s">
        <v>41</v>
      </c>
      <c r="B340" t="s">
        <v>1430</v>
      </c>
      <c r="C340" s="1">
        <v>43854116000109</v>
      </c>
      <c r="D340" t="s">
        <v>1431</v>
      </c>
      <c r="E340" t="s">
        <v>1432</v>
      </c>
      <c r="F340" t="s">
        <v>24</v>
      </c>
      <c r="G340">
        <v>32669154</v>
      </c>
      <c r="H340" t="s">
        <v>1433</v>
      </c>
      <c r="I340" t="s">
        <v>1434</v>
      </c>
      <c r="J340" t="s">
        <v>46</v>
      </c>
      <c r="K340">
        <v>8</v>
      </c>
      <c r="L340">
        <v>16</v>
      </c>
      <c r="M340">
        <v>2029</v>
      </c>
      <c r="N340" t="s">
        <v>47</v>
      </c>
      <c r="O340" s="5">
        <f>DATE(Tabela1[[#This Row],[vigencia ano]],Tabela1[[#This Row],[vigencia mês]],Tabela1[[#This Row],[vigencia dia]])</f>
        <v>47581</v>
      </c>
    </row>
    <row r="341" spans="1:15" x14ac:dyDescent="0.25">
      <c r="A341" t="s">
        <v>41</v>
      </c>
      <c r="B341" t="s">
        <v>1435</v>
      </c>
      <c r="C341" s="1">
        <v>5151226000107</v>
      </c>
      <c r="D341" t="s">
        <v>1436</v>
      </c>
      <c r="E341" t="s">
        <v>1432</v>
      </c>
      <c r="F341" t="s">
        <v>24</v>
      </c>
      <c r="G341">
        <v>32675515</v>
      </c>
      <c r="H341" t="s">
        <v>1437</v>
      </c>
      <c r="I341" t="s">
        <v>1438</v>
      </c>
      <c r="J341" t="s">
        <v>56</v>
      </c>
      <c r="K341">
        <v>8</v>
      </c>
      <c r="L341">
        <v>3</v>
      </c>
      <c r="M341">
        <v>2033</v>
      </c>
      <c r="N341" t="s">
        <v>47</v>
      </c>
      <c r="O341" s="5">
        <f>DATE(Tabela1[[#This Row],[vigencia ano]],Tabela1[[#This Row],[vigencia mês]],Tabela1[[#This Row],[vigencia dia]])</f>
        <v>48646</v>
      </c>
    </row>
    <row r="342" spans="1:15" x14ac:dyDescent="0.25">
      <c r="A342" t="s">
        <v>41</v>
      </c>
      <c r="B342" t="s">
        <v>1439</v>
      </c>
      <c r="C342" s="1">
        <v>86613403000121</v>
      </c>
      <c r="D342" t="s">
        <v>1440</v>
      </c>
      <c r="E342" t="s">
        <v>1432</v>
      </c>
      <c r="F342" t="s">
        <v>24</v>
      </c>
      <c r="G342">
        <v>32670790</v>
      </c>
      <c r="H342" t="s">
        <v>1441</v>
      </c>
      <c r="I342" t="s">
        <v>1442</v>
      </c>
      <c r="J342" t="s">
        <v>46</v>
      </c>
      <c r="K342">
        <v>4</v>
      </c>
      <c r="L342">
        <v>25</v>
      </c>
      <c r="M342">
        <v>2035</v>
      </c>
      <c r="N342" t="s">
        <v>1443</v>
      </c>
      <c r="O342" s="5">
        <f>DATE(Tabela1[[#This Row],[vigencia ano]],Tabela1[[#This Row],[vigencia mês]],Tabela1[[#This Row],[vigencia dia]])</f>
        <v>50044</v>
      </c>
    </row>
    <row r="343" spans="1:15" x14ac:dyDescent="0.25">
      <c r="A343" t="s">
        <v>41</v>
      </c>
      <c r="B343" t="s">
        <v>1439</v>
      </c>
      <c r="C343" s="1">
        <v>86613403000121</v>
      </c>
      <c r="D343" t="s">
        <v>1440</v>
      </c>
      <c r="E343" t="s">
        <v>1432</v>
      </c>
      <c r="F343" t="s">
        <v>24</v>
      </c>
      <c r="G343">
        <v>32670790</v>
      </c>
      <c r="H343" t="s">
        <v>1444</v>
      </c>
      <c r="I343" t="s">
        <v>1442</v>
      </c>
      <c r="J343" t="s">
        <v>46</v>
      </c>
      <c r="K343">
        <v>4</v>
      </c>
      <c r="L343">
        <v>25</v>
      </c>
      <c r="M343">
        <v>2035</v>
      </c>
      <c r="N343" t="s">
        <v>1443</v>
      </c>
      <c r="O343" s="5">
        <f>DATE(Tabela1[[#This Row],[vigencia ano]],Tabela1[[#This Row],[vigencia mês]],Tabela1[[#This Row],[vigencia dia]])</f>
        <v>50044</v>
      </c>
    </row>
    <row r="344" spans="1:15" x14ac:dyDescent="0.25">
      <c r="A344" t="s">
        <v>41</v>
      </c>
      <c r="B344" t="s">
        <v>1445</v>
      </c>
      <c r="C344" s="1">
        <v>17215039000129</v>
      </c>
      <c r="D344" t="s">
        <v>1446</v>
      </c>
      <c r="E344" t="s">
        <v>1432</v>
      </c>
      <c r="F344" t="s">
        <v>24</v>
      </c>
      <c r="G344">
        <v>32675005</v>
      </c>
      <c r="H344" t="s">
        <v>1447</v>
      </c>
      <c r="I344" t="s">
        <v>1448</v>
      </c>
      <c r="J344" t="s">
        <v>46</v>
      </c>
      <c r="K344">
        <v>8</v>
      </c>
      <c r="L344">
        <v>15</v>
      </c>
      <c r="M344">
        <v>2034</v>
      </c>
      <c r="N344" t="s">
        <v>47</v>
      </c>
      <c r="O344" s="5">
        <f>DATE(Tabela1[[#This Row],[vigencia ano]],Tabela1[[#This Row],[vigencia mês]],Tabela1[[#This Row],[vigencia dia]])</f>
        <v>49376</v>
      </c>
    </row>
    <row r="345" spans="1:15" x14ac:dyDescent="0.25">
      <c r="A345" t="s">
        <v>41</v>
      </c>
      <c r="B345" t="s">
        <v>1449</v>
      </c>
      <c r="C345" s="1">
        <v>14429795000162</v>
      </c>
      <c r="D345" t="s">
        <v>1450</v>
      </c>
      <c r="E345" t="s">
        <v>1451</v>
      </c>
      <c r="F345" t="s">
        <v>24</v>
      </c>
      <c r="G345">
        <v>36770228</v>
      </c>
      <c r="H345" t="s">
        <v>1452</v>
      </c>
      <c r="I345" t="s">
        <v>1453</v>
      </c>
      <c r="J345" t="s">
        <v>56</v>
      </c>
      <c r="K345">
        <v>1</v>
      </c>
      <c r="L345">
        <v>8</v>
      </c>
      <c r="M345">
        <v>2029</v>
      </c>
      <c r="N345" t="s">
        <v>47</v>
      </c>
      <c r="O345" s="5">
        <f>DATE(Tabela1[[#This Row],[vigencia ano]],Tabela1[[#This Row],[vigencia mês]],Tabela1[[#This Row],[vigencia dia]])</f>
        <v>47331</v>
      </c>
    </row>
    <row r="346" spans="1:15" x14ac:dyDescent="0.25">
      <c r="A346" t="s">
        <v>41</v>
      </c>
      <c r="B346" t="s">
        <v>1454</v>
      </c>
      <c r="C346" s="1">
        <v>21382943000104</v>
      </c>
      <c r="D346" t="s">
        <v>1455</v>
      </c>
      <c r="E346" t="s">
        <v>1456</v>
      </c>
      <c r="F346" t="s">
        <v>24</v>
      </c>
      <c r="G346">
        <v>32010010</v>
      </c>
      <c r="H346" t="s">
        <v>1457</v>
      </c>
      <c r="I346" t="s">
        <v>1458</v>
      </c>
      <c r="J346" t="s">
        <v>56</v>
      </c>
      <c r="K346">
        <v>6</v>
      </c>
      <c r="L346">
        <v>9</v>
      </c>
      <c r="M346">
        <v>2035</v>
      </c>
      <c r="N346" t="s">
        <v>1459</v>
      </c>
      <c r="O346" s="5">
        <f>DATE(Tabela1[[#This Row],[vigencia ano]],Tabela1[[#This Row],[vigencia mês]],Tabela1[[#This Row],[vigencia dia]])</f>
        <v>49558</v>
      </c>
    </row>
    <row r="347" spans="1:15" x14ac:dyDescent="0.25">
      <c r="A347" t="s">
        <v>41</v>
      </c>
      <c r="B347" t="s">
        <v>1454</v>
      </c>
      <c r="C347" s="1">
        <v>21382943000104</v>
      </c>
      <c r="D347" t="s">
        <v>1455</v>
      </c>
      <c r="E347" t="s">
        <v>1456</v>
      </c>
      <c r="F347" t="s">
        <v>24</v>
      </c>
      <c r="G347">
        <v>32010010</v>
      </c>
      <c r="H347" t="s">
        <v>1460</v>
      </c>
      <c r="I347" t="s">
        <v>1458</v>
      </c>
      <c r="J347" t="s">
        <v>56</v>
      </c>
      <c r="K347">
        <v>6</v>
      </c>
      <c r="L347">
        <v>9</v>
      </c>
      <c r="M347">
        <v>2035</v>
      </c>
      <c r="N347" t="s">
        <v>1459</v>
      </c>
      <c r="O347" s="5">
        <f>DATE(Tabela1[[#This Row],[vigencia ano]],Tabela1[[#This Row],[vigencia mês]],Tabela1[[#This Row],[vigencia dia]])</f>
        <v>49558</v>
      </c>
    </row>
    <row r="348" spans="1:15" x14ac:dyDescent="0.25">
      <c r="A348" t="s">
        <v>41</v>
      </c>
      <c r="B348" t="s">
        <v>1461</v>
      </c>
      <c r="C348" s="1">
        <v>8875763000783</v>
      </c>
      <c r="D348" t="s">
        <v>1462</v>
      </c>
      <c r="E348" t="s">
        <v>1456</v>
      </c>
      <c r="F348" t="s">
        <v>24</v>
      </c>
      <c r="G348">
        <v>32010370</v>
      </c>
      <c r="H348" t="s">
        <v>1463</v>
      </c>
      <c r="I348" t="s">
        <v>1464</v>
      </c>
      <c r="J348" t="s">
        <v>56</v>
      </c>
      <c r="K348">
        <v>6</v>
      </c>
      <c r="L348">
        <v>23</v>
      </c>
      <c r="M348">
        <v>2018</v>
      </c>
      <c r="N348" t="s">
        <v>47</v>
      </c>
      <c r="O348" s="5">
        <f>DATE(Tabela1[[#This Row],[vigencia ano]],Tabela1[[#This Row],[vigencia mês]],Tabela1[[#This Row],[vigencia dia]])</f>
        <v>43775</v>
      </c>
    </row>
    <row r="349" spans="1:15" x14ac:dyDescent="0.25">
      <c r="A349" t="s">
        <v>41</v>
      </c>
      <c r="B349" t="s">
        <v>1465</v>
      </c>
      <c r="C349" s="1">
        <v>7672060000108</v>
      </c>
      <c r="D349" t="s">
        <v>1466</v>
      </c>
      <c r="E349" t="s">
        <v>1456</v>
      </c>
      <c r="F349" t="s">
        <v>24</v>
      </c>
      <c r="G349">
        <v>32010370</v>
      </c>
      <c r="H349" t="s">
        <v>1467</v>
      </c>
      <c r="I349" t="s">
        <v>1468</v>
      </c>
      <c r="J349" t="s">
        <v>56</v>
      </c>
      <c r="K349">
        <v>10</v>
      </c>
      <c r="L349">
        <v>5</v>
      </c>
      <c r="M349">
        <v>2027</v>
      </c>
      <c r="N349" t="s">
        <v>47</v>
      </c>
      <c r="O349" s="5">
        <f>DATE(Tabela1[[#This Row],[vigencia ano]],Tabela1[[#This Row],[vigencia mês]],Tabela1[[#This Row],[vigencia dia]])</f>
        <v>46517</v>
      </c>
    </row>
    <row r="350" spans="1:15" x14ac:dyDescent="0.25">
      <c r="A350" t="s">
        <v>41</v>
      </c>
      <c r="B350" t="s">
        <v>1469</v>
      </c>
      <c r="C350" s="1">
        <v>14271042000171</v>
      </c>
      <c r="D350" t="s">
        <v>1470</v>
      </c>
      <c r="E350" t="s">
        <v>1456</v>
      </c>
      <c r="F350" t="s">
        <v>24</v>
      </c>
      <c r="G350">
        <v>32260150</v>
      </c>
      <c r="H350" t="s">
        <v>1471</v>
      </c>
      <c r="I350" t="s">
        <v>1472</v>
      </c>
      <c r="J350" t="s">
        <v>56</v>
      </c>
      <c r="K350">
        <v>8</v>
      </c>
      <c r="L350">
        <v>5</v>
      </c>
      <c r="M350">
        <v>2023</v>
      </c>
      <c r="N350" t="s">
        <v>47</v>
      </c>
      <c r="O350" s="5">
        <f>DATE(Tabela1[[#This Row],[vigencia ano]],Tabela1[[#This Row],[vigencia mês]],Tabela1[[#This Row],[vigencia dia]])</f>
        <v>45054</v>
      </c>
    </row>
    <row r="351" spans="1:15" x14ac:dyDescent="0.25">
      <c r="A351" t="s">
        <v>41</v>
      </c>
      <c r="B351" t="s">
        <v>1473</v>
      </c>
      <c r="C351" s="1">
        <v>11312768000117</v>
      </c>
      <c r="D351" t="s">
        <v>1474</v>
      </c>
      <c r="E351" t="s">
        <v>1456</v>
      </c>
      <c r="F351" t="s">
        <v>24</v>
      </c>
      <c r="G351">
        <v>32340460</v>
      </c>
      <c r="H351" t="s">
        <v>243</v>
      </c>
      <c r="I351" t="s">
        <v>1475</v>
      </c>
      <c r="J351" t="s">
        <v>56</v>
      </c>
      <c r="K351">
        <v>8</v>
      </c>
      <c r="L351">
        <v>11</v>
      </c>
      <c r="M351">
        <v>2031</v>
      </c>
      <c r="N351" t="s">
        <v>47</v>
      </c>
      <c r="O351" s="5">
        <f>DATE(Tabela1[[#This Row],[vigencia ano]],Tabela1[[#This Row],[vigencia mês]],Tabela1[[#This Row],[vigencia dia]])</f>
        <v>48160</v>
      </c>
    </row>
    <row r="352" spans="1:15" x14ac:dyDescent="0.25">
      <c r="A352" t="s">
        <v>41</v>
      </c>
      <c r="B352" t="s">
        <v>1476</v>
      </c>
      <c r="C352" s="1">
        <v>66702325000124</v>
      </c>
      <c r="D352" t="s">
        <v>1477</v>
      </c>
      <c r="E352" t="s">
        <v>1456</v>
      </c>
      <c r="F352" t="s">
        <v>24</v>
      </c>
      <c r="G352">
        <v>32371615</v>
      </c>
      <c r="H352" t="s">
        <v>1441</v>
      </c>
      <c r="I352" t="s">
        <v>1478</v>
      </c>
      <c r="J352" t="s">
        <v>46</v>
      </c>
      <c r="K352">
        <v>3</v>
      </c>
      <c r="L352">
        <v>10</v>
      </c>
      <c r="M352">
        <v>2035</v>
      </c>
      <c r="N352" t="s">
        <v>1479</v>
      </c>
      <c r="O352" s="5">
        <f>DATE(Tabela1[[#This Row],[vigencia ano]],Tabela1[[#This Row],[vigencia mês]],Tabela1[[#This Row],[vigencia dia]])</f>
        <v>49585</v>
      </c>
    </row>
    <row r="353" spans="1:15" x14ac:dyDescent="0.25">
      <c r="A353" t="s">
        <v>41</v>
      </c>
      <c r="B353" t="s">
        <v>1476</v>
      </c>
      <c r="C353" s="1">
        <v>66702325000124</v>
      </c>
      <c r="D353" t="s">
        <v>1477</v>
      </c>
      <c r="E353" t="s">
        <v>1456</v>
      </c>
      <c r="F353" t="s">
        <v>24</v>
      </c>
      <c r="G353">
        <v>32371615</v>
      </c>
      <c r="H353" t="s">
        <v>1444</v>
      </c>
      <c r="I353" t="s">
        <v>1478</v>
      </c>
      <c r="J353" t="s">
        <v>46</v>
      </c>
      <c r="K353">
        <v>3</v>
      </c>
      <c r="L353">
        <v>10</v>
      </c>
      <c r="M353">
        <v>2035</v>
      </c>
      <c r="N353" t="s">
        <v>1479</v>
      </c>
      <c r="O353" s="5">
        <f>DATE(Tabela1[[#This Row],[vigencia ano]],Tabela1[[#This Row],[vigencia mês]],Tabela1[[#This Row],[vigencia dia]])</f>
        <v>49585</v>
      </c>
    </row>
    <row r="354" spans="1:15" x14ac:dyDescent="0.25">
      <c r="A354" t="s">
        <v>41</v>
      </c>
      <c r="B354" t="s">
        <v>1480</v>
      </c>
      <c r="C354" s="1">
        <v>20468310000142</v>
      </c>
      <c r="D354" t="s">
        <v>1481</v>
      </c>
      <c r="E354" t="s">
        <v>1456</v>
      </c>
      <c r="F354" t="s">
        <v>24</v>
      </c>
      <c r="G354">
        <v>32371615</v>
      </c>
      <c r="H354" t="s">
        <v>1441</v>
      </c>
      <c r="I354" t="s">
        <v>1482</v>
      </c>
      <c r="J354" t="s">
        <v>46</v>
      </c>
      <c r="K354">
        <v>4</v>
      </c>
      <c r="L354">
        <v>30</v>
      </c>
      <c r="M354">
        <v>2035</v>
      </c>
      <c r="N354" t="s">
        <v>1483</v>
      </c>
      <c r="O354" s="5">
        <f>DATE(Tabela1[[#This Row],[vigencia ano]],Tabela1[[#This Row],[vigencia mês]],Tabela1[[#This Row],[vigencia dia]])</f>
        <v>50195</v>
      </c>
    </row>
    <row r="355" spans="1:15" x14ac:dyDescent="0.25">
      <c r="A355" t="s">
        <v>41</v>
      </c>
      <c r="B355" t="s">
        <v>1480</v>
      </c>
      <c r="C355" s="1">
        <v>20468310000142</v>
      </c>
      <c r="D355" t="s">
        <v>1481</v>
      </c>
      <c r="E355" t="s">
        <v>1456</v>
      </c>
      <c r="F355" t="s">
        <v>24</v>
      </c>
      <c r="G355">
        <v>32371615</v>
      </c>
      <c r="H355" t="s">
        <v>1444</v>
      </c>
      <c r="I355" t="s">
        <v>1482</v>
      </c>
      <c r="J355" t="s">
        <v>46</v>
      </c>
      <c r="K355">
        <v>4</v>
      </c>
      <c r="L355">
        <v>30</v>
      </c>
      <c r="M355">
        <v>2035</v>
      </c>
      <c r="N355" t="s">
        <v>1483</v>
      </c>
      <c r="O355" s="5">
        <f>DATE(Tabela1[[#This Row],[vigencia ano]],Tabela1[[#This Row],[vigencia mês]],Tabela1[[#This Row],[vigencia dia]])</f>
        <v>50195</v>
      </c>
    </row>
    <row r="356" spans="1:15" x14ac:dyDescent="0.25">
      <c r="A356" t="s">
        <v>41</v>
      </c>
      <c r="B356" t="s">
        <v>1484</v>
      </c>
      <c r="C356" s="1">
        <v>10173996000190</v>
      </c>
      <c r="D356" t="s">
        <v>1485</v>
      </c>
      <c r="E356" t="s">
        <v>1456</v>
      </c>
      <c r="F356" t="s">
        <v>24</v>
      </c>
      <c r="G356">
        <v>32145480</v>
      </c>
      <c r="H356" t="s">
        <v>1486</v>
      </c>
      <c r="I356" t="s">
        <v>1487</v>
      </c>
      <c r="J356" t="s">
        <v>46</v>
      </c>
      <c r="K356">
        <v>7</v>
      </c>
      <c r="L356">
        <v>7</v>
      </c>
      <c r="M356">
        <v>2032</v>
      </c>
      <c r="N356" t="s">
        <v>47</v>
      </c>
      <c r="O356" s="5">
        <f>DATE(Tabela1[[#This Row],[vigencia ano]],Tabela1[[#This Row],[vigencia mês]],Tabela1[[#This Row],[vigencia dia]])</f>
        <v>48402</v>
      </c>
    </row>
    <row r="357" spans="1:15" x14ac:dyDescent="0.25">
      <c r="A357" t="s">
        <v>41</v>
      </c>
      <c r="B357" t="s">
        <v>1488</v>
      </c>
      <c r="C357" s="1">
        <v>23864838000129</v>
      </c>
      <c r="D357" t="s">
        <v>1489</v>
      </c>
      <c r="E357" t="s">
        <v>1456</v>
      </c>
      <c r="F357" t="s">
        <v>24</v>
      </c>
      <c r="G357">
        <v>32250010</v>
      </c>
      <c r="H357" t="s">
        <v>1490</v>
      </c>
      <c r="I357" t="s">
        <v>1491</v>
      </c>
      <c r="J357" t="s">
        <v>56</v>
      </c>
      <c r="K357">
        <v>7</v>
      </c>
      <c r="L357">
        <v>3</v>
      </c>
      <c r="M357">
        <v>2035</v>
      </c>
      <c r="N357" t="s">
        <v>1492</v>
      </c>
      <c r="O357" s="5">
        <f>DATE(Tabela1[[#This Row],[vigencia ano]],Tabela1[[#This Row],[vigencia mês]],Tabela1[[#This Row],[vigencia dia]])</f>
        <v>49375</v>
      </c>
    </row>
    <row r="358" spans="1:15" x14ac:dyDescent="0.25">
      <c r="A358" t="s">
        <v>41</v>
      </c>
      <c r="B358" t="s">
        <v>1493</v>
      </c>
      <c r="C358" s="1">
        <v>17182742000188</v>
      </c>
      <c r="D358" t="s">
        <v>1494</v>
      </c>
      <c r="E358" t="s">
        <v>1456</v>
      </c>
      <c r="F358" t="s">
        <v>24</v>
      </c>
      <c r="G358">
        <v>32210080</v>
      </c>
      <c r="H358" t="s">
        <v>1495</v>
      </c>
      <c r="I358" t="s">
        <v>1496</v>
      </c>
      <c r="J358" t="s">
        <v>56</v>
      </c>
      <c r="K358">
        <v>3</v>
      </c>
      <c r="L358">
        <v>23</v>
      </c>
      <c r="M358">
        <v>2015</v>
      </c>
      <c r="N358" t="s">
        <v>47</v>
      </c>
      <c r="O358" s="5">
        <f>DATE(Tabela1[[#This Row],[vigencia ano]],Tabela1[[#This Row],[vigencia mês]],Tabela1[[#This Row],[vigencia dia]])</f>
        <v>42677</v>
      </c>
    </row>
    <row r="359" spans="1:15" x14ac:dyDescent="0.25">
      <c r="A359" t="s">
        <v>41</v>
      </c>
      <c r="B359" t="s">
        <v>1497</v>
      </c>
      <c r="C359" s="1">
        <v>21545694000112</v>
      </c>
      <c r="D359" t="s">
        <v>1498</v>
      </c>
      <c r="E359" t="s">
        <v>1499</v>
      </c>
      <c r="F359" t="s">
        <v>24</v>
      </c>
      <c r="G359">
        <v>35930070</v>
      </c>
      <c r="H359" t="s">
        <v>1500</v>
      </c>
      <c r="I359" t="s">
        <v>1501</v>
      </c>
      <c r="J359" t="s">
        <v>56</v>
      </c>
      <c r="K359">
        <v>6</v>
      </c>
      <c r="L359">
        <v>19</v>
      </c>
      <c r="M359">
        <v>2027</v>
      </c>
      <c r="N359" t="s">
        <v>47</v>
      </c>
      <c r="O359" s="5">
        <f>DATE(Tabela1[[#This Row],[vigencia ano]],Tabela1[[#This Row],[vigencia mês]],Tabela1[[#This Row],[vigencia dia]])</f>
        <v>46940</v>
      </c>
    </row>
    <row r="360" spans="1:15" x14ac:dyDescent="0.25">
      <c r="A360" t="s">
        <v>41</v>
      </c>
      <c r="B360" t="s">
        <v>1502</v>
      </c>
      <c r="C360" s="1">
        <v>10554902000123</v>
      </c>
      <c r="D360" t="s">
        <v>1503</v>
      </c>
      <c r="E360" t="s">
        <v>1504</v>
      </c>
      <c r="F360" t="s">
        <v>24</v>
      </c>
      <c r="G360">
        <v>36087270</v>
      </c>
      <c r="H360" t="s">
        <v>1505</v>
      </c>
      <c r="I360" t="s">
        <v>1506</v>
      </c>
      <c r="J360" t="s">
        <v>56</v>
      </c>
      <c r="K360">
        <v>7</v>
      </c>
      <c r="L360">
        <v>9</v>
      </c>
      <c r="M360">
        <v>2025</v>
      </c>
      <c r="N360" t="s">
        <v>47</v>
      </c>
      <c r="O360" s="5">
        <f>DATE(Tabela1[[#This Row],[vigencia ano]],Tabela1[[#This Row],[vigencia mês]],Tabela1[[#This Row],[vigencia dia]])</f>
        <v>45907</v>
      </c>
    </row>
    <row r="361" spans="1:15" x14ac:dyDescent="0.25">
      <c r="A361" t="s">
        <v>41</v>
      </c>
      <c r="B361" t="s">
        <v>1507</v>
      </c>
      <c r="C361" s="1">
        <v>40579894000130</v>
      </c>
      <c r="D361" t="s">
        <v>1508</v>
      </c>
      <c r="E361" t="s">
        <v>1509</v>
      </c>
      <c r="F361" t="s">
        <v>24</v>
      </c>
      <c r="G361">
        <v>38720000</v>
      </c>
      <c r="H361" t="s">
        <v>1510</v>
      </c>
      <c r="I361" t="s">
        <v>1511</v>
      </c>
      <c r="J361" t="s">
        <v>56</v>
      </c>
      <c r="K361">
        <v>5</v>
      </c>
      <c r="L361">
        <v>25</v>
      </c>
      <c r="M361">
        <v>2031</v>
      </c>
      <c r="N361" t="s">
        <v>47</v>
      </c>
      <c r="O361" s="5">
        <f>DATE(Tabela1[[#This Row],[vigencia ano]],Tabela1[[#This Row],[vigencia mês]],Tabela1[[#This Row],[vigencia dia]])</f>
        <v>48584</v>
      </c>
    </row>
    <row r="362" spans="1:15" x14ac:dyDescent="0.25">
      <c r="A362" t="s">
        <v>41</v>
      </c>
      <c r="B362" t="s">
        <v>1512</v>
      </c>
      <c r="C362" s="1">
        <v>36538565000174</v>
      </c>
      <c r="D362" t="s">
        <v>1513</v>
      </c>
      <c r="E362" t="s">
        <v>1509</v>
      </c>
      <c r="F362" t="s">
        <v>24</v>
      </c>
      <c r="G362">
        <v>38720000</v>
      </c>
      <c r="H362" t="s">
        <v>1514</v>
      </c>
      <c r="I362" t="s">
        <v>1515</v>
      </c>
      <c r="J362" t="s">
        <v>46</v>
      </c>
      <c r="K362">
        <v>4</v>
      </c>
      <c r="L362">
        <v>17</v>
      </c>
      <c r="M362">
        <v>2030</v>
      </c>
      <c r="N362" t="s">
        <v>47</v>
      </c>
      <c r="O362" s="5">
        <f>DATE(Tabela1[[#This Row],[vigencia ano]],Tabela1[[#This Row],[vigencia mês]],Tabela1[[#This Row],[vigencia dia]])</f>
        <v>47972</v>
      </c>
    </row>
    <row r="363" spans="1:15" x14ac:dyDescent="0.25">
      <c r="A363" t="s">
        <v>41</v>
      </c>
      <c r="B363" t="s">
        <v>1516</v>
      </c>
      <c r="C363" s="1">
        <v>1374153000161</v>
      </c>
      <c r="D363" t="s">
        <v>1517</v>
      </c>
      <c r="E363" t="s">
        <v>1518</v>
      </c>
      <c r="F363" t="s">
        <v>24</v>
      </c>
      <c r="G363">
        <v>37205034</v>
      </c>
      <c r="H363" t="s">
        <v>1519</v>
      </c>
      <c r="I363" t="s">
        <v>1520</v>
      </c>
      <c r="J363" t="s">
        <v>56</v>
      </c>
      <c r="K363">
        <v>10</v>
      </c>
      <c r="L363">
        <v>19</v>
      </c>
      <c r="M363">
        <v>2028</v>
      </c>
      <c r="N363" t="s">
        <v>47</v>
      </c>
      <c r="O363" s="5">
        <f>DATE(Tabela1[[#This Row],[vigencia ano]],Tabela1[[#This Row],[vigencia mês]],Tabela1[[#This Row],[vigencia dia]])</f>
        <v>47309</v>
      </c>
    </row>
    <row r="364" spans="1:15" x14ac:dyDescent="0.25">
      <c r="A364" t="s">
        <v>41</v>
      </c>
      <c r="B364" t="s">
        <v>1516</v>
      </c>
      <c r="C364" s="1">
        <v>1374153000161</v>
      </c>
      <c r="D364" t="s">
        <v>1517</v>
      </c>
      <c r="E364" t="s">
        <v>1518</v>
      </c>
      <c r="F364" t="s">
        <v>24</v>
      </c>
      <c r="G364">
        <v>37205034</v>
      </c>
      <c r="H364" t="s">
        <v>1521</v>
      </c>
      <c r="I364" t="s">
        <v>1520</v>
      </c>
      <c r="J364" t="s">
        <v>56</v>
      </c>
      <c r="K364">
        <v>10</v>
      </c>
      <c r="L364">
        <v>19</v>
      </c>
      <c r="M364">
        <v>2028</v>
      </c>
      <c r="N364" t="s">
        <v>47</v>
      </c>
      <c r="O364" s="5">
        <f>DATE(Tabela1[[#This Row],[vigencia ano]],Tabela1[[#This Row],[vigencia mês]],Tabela1[[#This Row],[vigencia dia]])</f>
        <v>47309</v>
      </c>
    </row>
    <row r="365" spans="1:15" x14ac:dyDescent="0.25">
      <c r="A365" t="s">
        <v>41</v>
      </c>
      <c r="B365" t="s">
        <v>1522</v>
      </c>
      <c r="C365" s="1">
        <v>26386235000157</v>
      </c>
      <c r="D365" t="s">
        <v>1523</v>
      </c>
      <c r="E365" t="s">
        <v>1524</v>
      </c>
      <c r="F365" t="s">
        <v>24</v>
      </c>
      <c r="G365">
        <v>34000000</v>
      </c>
      <c r="H365" t="s">
        <v>1525</v>
      </c>
      <c r="I365" t="s">
        <v>1526</v>
      </c>
      <c r="J365" t="s">
        <v>46</v>
      </c>
      <c r="K365">
        <v>8</v>
      </c>
      <c r="L365">
        <v>18</v>
      </c>
      <c r="M365">
        <v>2015</v>
      </c>
      <c r="N365" t="s">
        <v>47</v>
      </c>
      <c r="O365" s="5">
        <f>DATE(Tabela1[[#This Row],[vigencia ano]],Tabela1[[#This Row],[vigencia mês]],Tabela1[[#This Row],[vigencia dia]])</f>
        <v>42529</v>
      </c>
    </row>
    <row r="366" spans="1:15" x14ac:dyDescent="0.25">
      <c r="A366" t="s">
        <v>41</v>
      </c>
      <c r="B366" t="s">
        <v>1527</v>
      </c>
      <c r="C366" s="1">
        <v>65153090000104</v>
      </c>
      <c r="D366" t="s">
        <v>1528</v>
      </c>
      <c r="E366" t="s">
        <v>1524</v>
      </c>
      <c r="F366" t="s">
        <v>24</v>
      </c>
      <c r="G366">
        <v>34000000</v>
      </c>
      <c r="H366" t="s">
        <v>1529</v>
      </c>
      <c r="I366" t="s">
        <v>1530</v>
      </c>
      <c r="J366" t="s">
        <v>46</v>
      </c>
      <c r="K366">
        <v>3</v>
      </c>
      <c r="L366">
        <v>27</v>
      </c>
      <c r="M366">
        <v>2027</v>
      </c>
      <c r="N366" t="s">
        <v>47</v>
      </c>
      <c r="O366" s="5">
        <f>DATE(Tabela1[[#This Row],[vigencia ano]],Tabela1[[#This Row],[vigencia mês]],Tabela1[[#This Row],[vigencia dia]])</f>
        <v>47180</v>
      </c>
    </row>
    <row r="367" spans="1:15" x14ac:dyDescent="0.25">
      <c r="A367" t="s">
        <v>41</v>
      </c>
      <c r="B367" t="s">
        <v>1531</v>
      </c>
      <c r="C367" s="1">
        <v>7837315000137</v>
      </c>
      <c r="D367" t="s">
        <v>1532</v>
      </c>
      <c r="E367" t="s">
        <v>1533</v>
      </c>
      <c r="F367" t="s">
        <v>24</v>
      </c>
      <c r="G367">
        <v>33113010</v>
      </c>
      <c r="H367" t="s">
        <v>1534</v>
      </c>
      <c r="I367" t="s">
        <v>1535</v>
      </c>
      <c r="J367" t="s">
        <v>56</v>
      </c>
      <c r="K367">
        <v>5</v>
      </c>
      <c r="L367">
        <v>19</v>
      </c>
      <c r="M367">
        <v>2032</v>
      </c>
      <c r="N367" t="s">
        <v>47</v>
      </c>
      <c r="O367" s="5">
        <f>DATE(Tabela1[[#This Row],[vigencia ano]],Tabela1[[#This Row],[vigencia mês]],Tabela1[[#This Row],[vigencia dia]])</f>
        <v>48765</v>
      </c>
    </row>
    <row r="368" spans="1:15" x14ac:dyDescent="0.25">
      <c r="A368" t="s">
        <v>41</v>
      </c>
      <c r="B368" t="s">
        <v>1536</v>
      </c>
      <c r="C368" s="1">
        <v>11501873000102</v>
      </c>
      <c r="D368" t="s">
        <v>1537</v>
      </c>
      <c r="E368" t="s">
        <v>1538</v>
      </c>
      <c r="F368" t="s">
        <v>24</v>
      </c>
      <c r="G368">
        <v>35702144</v>
      </c>
      <c r="H368" t="s">
        <v>1539</v>
      </c>
      <c r="I368" t="s">
        <v>1540</v>
      </c>
      <c r="J368" t="s">
        <v>56</v>
      </c>
      <c r="K368">
        <v>8</v>
      </c>
      <c r="L368">
        <v>21</v>
      </c>
      <c r="M368">
        <v>2028</v>
      </c>
      <c r="N368" t="s">
        <v>47</v>
      </c>
      <c r="O368" s="5">
        <f>DATE(Tabela1[[#This Row],[vigencia ano]],Tabela1[[#This Row],[vigencia mês]],Tabela1[[#This Row],[vigencia dia]])</f>
        <v>47369</v>
      </c>
    </row>
    <row r="369" spans="1:15" x14ac:dyDescent="0.25">
      <c r="A369" t="s">
        <v>41</v>
      </c>
      <c r="B369" t="s">
        <v>1541</v>
      </c>
      <c r="C369" s="1">
        <v>3098929000193</v>
      </c>
      <c r="D369" t="s">
        <v>1542</v>
      </c>
      <c r="E369" t="s">
        <v>1538</v>
      </c>
      <c r="F369" t="s">
        <v>24</v>
      </c>
      <c r="G369">
        <v>35702383</v>
      </c>
      <c r="H369" t="s">
        <v>1543</v>
      </c>
      <c r="I369" t="s">
        <v>1544</v>
      </c>
      <c r="J369" t="s">
        <v>56</v>
      </c>
      <c r="K369">
        <v>5</v>
      </c>
      <c r="L369">
        <v>6</v>
      </c>
      <c r="M369">
        <v>2035</v>
      </c>
      <c r="N369" t="s">
        <v>1545</v>
      </c>
      <c r="O369" s="5">
        <f>DATE(Tabela1[[#This Row],[vigencia ano]],Tabela1[[#This Row],[vigencia mês]],Tabela1[[#This Row],[vigencia dia]])</f>
        <v>49465</v>
      </c>
    </row>
    <row r="370" spans="1:15" x14ac:dyDescent="0.25">
      <c r="A370" t="s">
        <v>41</v>
      </c>
      <c r="B370" t="s">
        <v>1546</v>
      </c>
      <c r="C370" s="1">
        <v>950001000105</v>
      </c>
      <c r="D370" t="s">
        <v>1547</v>
      </c>
      <c r="E370" t="s">
        <v>1548</v>
      </c>
      <c r="F370" t="s">
        <v>24</v>
      </c>
      <c r="G370">
        <v>38055010</v>
      </c>
      <c r="H370" t="s">
        <v>1549</v>
      </c>
      <c r="I370" t="s">
        <v>1550</v>
      </c>
      <c r="J370" t="s">
        <v>56</v>
      </c>
      <c r="K370">
        <v>9</v>
      </c>
      <c r="L370">
        <v>12</v>
      </c>
      <c r="M370">
        <v>2028</v>
      </c>
      <c r="N370" t="s">
        <v>47</v>
      </c>
      <c r="O370" s="5">
        <f>DATE(Tabela1[[#This Row],[vigencia ano]],Tabela1[[#This Row],[vigencia mês]],Tabela1[[#This Row],[vigencia dia]])</f>
        <v>47096</v>
      </c>
    </row>
    <row r="371" spans="1:15" x14ac:dyDescent="0.25">
      <c r="A371" t="s">
        <v>41</v>
      </c>
      <c r="B371" t="s">
        <v>1551</v>
      </c>
      <c r="C371" s="1">
        <v>30408492000110</v>
      </c>
      <c r="D371" t="s">
        <v>1552</v>
      </c>
      <c r="E371" t="s">
        <v>1553</v>
      </c>
      <c r="F371" t="s">
        <v>24</v>
      </c>
      <c r="G371">
        <v>38400766</v>
      </c>
      <c r="H371" t="s">
        <v>1554</v>
      </c>
      <c r="I371" t="s">
        <v>1555</v>
      </c>
      <c r="J371" t="s">
        <v>56</v>
      </c>
      <c r="K371">
        <v>12</v>
      </c>
      <c r="L371">
        <v>13</v>
      </c>
      <c r="M371">
        <v>2028</v>
      </c>
      <c r="N371" t="s">
        <v>47</v>
      </c>
      <c r="O371" s="5">
        <f>DATE(Tabela1[[#This Row],[vigencia ano]],Tabela1[[#This Row],[vigencia mês]],Tabela1[[#This Row],[vigencia dia]])</f>
        <v>47130</v>
      </c>
    </row>
    <row r="372" spans="1:15" x14ac:dyDescent="0.25">
      <c r="A372" t="s">
        <v>41</v>
      </c>
      <c r="B372" t="s">
        <v>1551</v>
      </c>
      <c r="C372" s="1">
        <v>30408492000110</v>
      </c>
      <c r="D372" t="s">
        <v>1552</v>
      </c>
      <c r="E372" t="s">
        <v>1553</v>
      </c>
      <c r="F372" t="s">
        <v>24</v>
      </c>
      <c r="G372">
        <v>38400766</v>
      </c>
      <c r="H372" t="s">
        <v>1556</v>
      </c>
      <c r="I372" t="s">
        <v>1555</v>
      </c>
      <c r="J372" t="s">
        <v>56</v>
      </c>
      <c r="K372">
        <v>12</v>
      </c>
      <c r="L372">
        <v>13</v>
      </c>
      <c r="M372">
        <v>2028</v>
      </c>
      <c r="N372" t="s">
        <v>47</v>
      </c>
      <c r="O372" s="5">
        <f>DATE(Tabela1[[#This Row],[vigencia ano]],Tabela1[[#This Row],[vigencia mês]],Tabela1[[#This Row],[vigencia dia]])</f>
        <v>47130</v>
      </c>
    </row>
    <row r="373" spans="1:15" x14ac:dyDescent="0.25">
      <c r="A373" t="s">
        <v>41</v>
      </c>
      <c r="B373" t="s">
        <v>1557</v>
      </c>
      <c r="C373" s="1">
        <v>47520037000104</v>
      </c>
      <c r="D373" t="s">
        <v>1558</v>
      </c>
      <c r="E373" t="s">
        <v>1553</v>
      </c>
      <c r="F373" t="s">
        <v>24</v>
      </c>
      <c r="G373">
        <v>38406260</v>
      </c>
      <c r="H373" t="s">
        <v>1559</v>
      </c>
      <c r="I373" t="s">
        <v>1560</v>
      </c>
      <c r="J373" t="s">
        <v>56</v>
      </c>
      <c r="K373">
        <v>10</v>
      </c>
      <c r="L373">
        <v>17</v>
      </c>
      <c r="M373">
        <v>2032</v>
      </c>
      <c r="N373" t="s">
        <v>47</v>
      </c>
      <c r="O373" s="5">
        <f>DATE(Tabela1[[#This Row],[vigencia ano]],Tabela1[[#This Row],[vigencia mês]],Tabela1[[#This Row],[vigencia dia]])</f>
        <v>48709</v>
      </c>
    </row>
    <row r="374" spans="1:15" x14ac:dyDescent="0.25">
      <c r="A374" t="s">
        <v>41</v>
      </c>
      <c r="B374" t="s">
        <v>1561</v>
      </c>
      <c r="C374" s="1">
        <v>3447983000105</v>
      </c>
      <c r="D374" t="s">
        <v>1562</v>
      </c>
      <c r="E374" t="s">
        <v>1553</v>
      </c>
      <c r="F374" t="s">
        <v>24</v>
      </c>
      <c r="G374">
        <v>38401730</v>
      </c>
      <c r="H374" t="s">
        <v>1563</v>
      </c>
      <c r="I374" t="s">
        <v>1564</v>
      </c>
      <c r="J374" t="s">
        <v>56</v>
      </c>
      <c r="K374">
        <v>7</v>
      </c>
      <c r="L374">
        <v>17</v>
      </c>
      <c r="M374">
        <v>2022</v>
      </c>
      <c r="N374" t="s">
        <v>47</v>
      </c>
      <c r="O374" s="5">
        <f>DATE(Tabela1[[#This Row],[vigencia ano]],Tabela1[[#This Row],[vigencia mês]],Tabela1[[#This Row],[vigencia dia]])</f>
        <v>45053</v>
      </c>
    </row>
    <row r="375" spans="1:15" x14ac:dyDescent="0.25">
      <c r="A375" t="s">
        <v>41</v>
      </c>
      <c r="B375" t="s">
        <v>1565</v>
      </c>
      <c r="C375" s="1">
        <v>13447924000182</v>
      </c>
      <c r="D375" t="s">
        <v>1566</v>
      </c>
      <c r="E375" t="s">
        <v>1567</v>
      </c>
      <c r="F375" t="s">
        <v>24</v>
      </c>
      <c r="G375">
        <v>37026590</v>
      </c>
      <c r="H375" t="s">
        <v>1568</v>
      </c>
      <c r="I375" t="s">
        <v>1569</v>
      </c>
      <c r="J375" t="s">
        <v>56</v>
      </c>
      <c r="K375">
        <v>7</v>
      </c>
      <c r="L375">
        <v>4</v>
      </c>
      <c r="M375">
        <v>2027</v>
      </c>
      <c r="N375" t="s">
        <v>47</v>
      </c>
      <c r="O375" s="5">
        <f>DATE(Tabela1[[#This Row],[vigencia ano]],Tabela1[[#This Row],[vigencia mês]],Tabela1[[#This Row],[vigencia dia]])</f>
        <v>46484</v>
      </c>
    </row>
    <row r="376" spans="1:15" x14ac:dyDescent="0.25">
      <c r="A376" t="s">
        <v>41</v>
      </c>
      <c r="B376" t="s">
        <v>1570</v>
      </c>
      <c r="C376" s="1">
        <v>28654299000117</v>
      </c>
      <c r="D376" t="s">
        <v>1571</v>
      </c>
      <c r="E376" t="s">
        <v>1567</v>
      </c>
      <c r="F376" t="s">
        <v>24</v>
      </c>
      <c r="G376">
        <v>37062650</v>
      </c>
      <c r="H376" t="s">
        <v>1572</v>
      </c>
      <c r="I376" t="s">
        <v>1573</v>
      </c>
      <c r="J376" t="s">
        <v>56</v>
      </c>
      <c r="K376">
        <v>1</v>
      </c>
      <c r="L376">
        <v>30</v>
      </c>
      <c r="M376">
        <v>2033</v>
      </c>
      <c r="N376" t="s">
        <v>47</v>
      </c>
      <c r="O376" s="5">
        <f>DATE(Tabela1[[#This Row],[vigencia ano]],Tabela1[[#This Row],[vigencia mês]],Tabela1[[#This Row],[vigencia dia]])</f>
        <v>49461</v>
      </c>
    </row>
    <row r="377" spans="1:15" x14ac:dyDescent="0.25">
      <c r="A377" t="s">
        <v>41</v>
      </c>
      <c r="B377" t="s">
        <v>1570</v>
      </c>
      <c r="C377" s="1">
        <v>28654299000117</v>
      </c>
      <c r="D377" t="s">
        <v>1571</v>
      </c>
      <c r="E377" t="s">
        <v>1567</v>
      </c>
      <c r="F377" t="s">
        <v>24</v>
      </c>
      <c r="G377">
        <v>37062650</v>
      </c>
      <c r="H377" t="s">
        <v>1574</v>
      </c>
      <c r="I377" t="s">
        <v>1573</v>
      </c>
      <c r="J377" t="s">
        <v>56</v>
      </c>
      <c r="K377">
        <v>1</v>
      </c>
      <c r="L377">
        <v>30</v>
      </c>
      <c r="M377">
        <v>2033</v>
      </c>
      <c r="N377" t="s">
        <v>47</v>
      </c>
      <c r="O377" s="5">
        <f>DATE(Tabela1[[#This Row],[vigencia ano]],Tabela1[[#This Row],[vigencia mês]],Tabela1[[#This Row],[vigencia dia]])</f>
        <v>49461</v>
      </c>
    </row>
    <row r="378" spans="1:15" x14ac:dyDescent="0.25">
      <c r="A378" t="s">
        <v>41</v>
      </c>
      <c r="B378" t="s">
        <v>1575</v>
      </c>
      <c r="C378" s="1">
        <v>7275520000156</v>
      </c>
      <c r="D378" t="s">
        <v>1576</v>
      </c>
      <c r="E378" t="s">
        <v>1567</v>
      </c>
      <c r="F378" t="s">
        <v>24</v>
      </c>
      <c r="G378">
        <v>37066415</v>
      </c>
      <c r="H378" t="s">
        <v>1577</v>
      </c>
      <c r="I378" t="s">
        <v>1578</v>
      </c>
      <c r="J378" t="s">
        <v>56</v>
      </c>
      <c r="K378">
        <v>6</v>
      </c>
      <c r="L378">
        <v>19</v>
      </c>
      <c r="M378">
        <v>2029</v>
      </c>
      <c r="N378" t="s">
        <v>47</v>
      </c>
      <c r="O378" s="5">
        <f>DATE(Tabela1[[#This Row],[vigencia ano]],Tabela1[[#This Row],[vigencia mês]],Tabela1[[#This Row],[vigencia dia]])</f>
        <v>47670</v>
      </c>
    </row>
    <row r="379" spans="1:15" x14ac:dyDescent="0.25">
      <c r="A379" t="s">
        <v>41</v>
      </c>
      <c r="B379" t="s">
        <v>1575</v>
      </c>
      <c r="C379" s="1">
        <v>7275520000156</v>
      </c>
      <c r="D379" t="s">
        <v>1576</v>
      </c>
      <c r="E379" t="s">
        <v>1567</v>
      </c>
      <c r="F379" t="s">
        <v>24</v>
      </c>
      <c r="G379">
        <v>37066415</v>
      </c>
      <c r="H379" t="s">
        <v>1579</v>
      </c>
      <c r="I379" t="s">
        <v>1578</v>
      </c>
      <c r="J379" t="s">
        <v>56</v>
      </c>
      <c r="K379">
        <v>6</v>
      </c>
      <c r="L379">
        <v>19</v>
      </c>
      <c r="M379">
        <v>2029</v>
      </c>
      <c r="N379" t="s">
        <v>47</v>
      </c>
      <c r="O379" s="5">
        <f>DATE(Tabela1[[#This Row],[vigencia ano]],Tabela1[[#This Row],[vigencia mês]],Tabela1[[#This Row],[vigencia dia]])</f>
        <v>47670</v>
      </c>
    </row>
    <row r="380" spans="1:15" x14ac:dyDescent="0.25">
      <c r="A380" t="s">
        <v>41</v>
      </c>
      <c r="B380" t="s">
        <v>1580</v>
      </c>
      <c r="C380" s="1">
        <v>22045683000136</v>
      </c>
      <c r="D380" t="s">
        <v>1581</v>
      </c>
      <c r="E380" t="s">
        <v>1567</v>
      </c>
      <c r="F380" t="s">
        <v>24</v>
      </c>
      <c r="G380">
        <v>37026080</v>
      </c>
      <c r="H380" t="s">
        <v>1582</v>
      </c>
      <c r="I380" t="s">
        <v>1583</v>
      </c>
      <c r="J380" t="s">
        <v>56</v>
      </c>
      <c r="K380">
        <v>7</v>
      </c>
      <c r="L380">
        <v>30</v>
      </c>
      <c r="M380">
        <v>2035</v>
      </c>
      <c r="N380" t="s">
        <v>1584</v>
      </c>
      <c r="O380" s="5">
        <f>DATE(Tabela1[[#This Row],[vigencia ano]],Tabela1[[#This Row],[vigencia mês]],Tabela1[[#This Row],[vigencia dia]])</f>
        <v>50198</v>
      </c>
    </row>
    <row r="381" spans="1:15" x14ac:dyDescent="0.25">
      <c r="A381" t="s">
        <v>41</v>
      </c>
      <c r="B381" t="s">
        <v>1585</v>
      </c>
      <c r="C381" s="1">
        <v>31852609000112</v>
      </c>
      <c r="D381" t="s">
        <v>1586</v>
      </c>
      <c r="E381" t="s">
        <v>1587</v>
      </c>
      <c r="F381" t="s">
        <v>24</v>
      </c>
      <c r="G381">
        <v>33206004</v>
      </c>
      <c r="H381" t="s">
        <v>1588</v>
      </c>
      <c r="I381" t="s">
        <v>1589</v>
      </c>
      <c r="J381" t="s">
        <v>56</v>
      </c>
      <c r="K381">
        <v>8</v>
      </c>
      <c r="L381">
        <v>16</v>
      </c>
      <c r="M381">
        <v>2029</v>
      </c>
      <c r="N381" t="s">
        <v>47</v>
      </c>
      <c r="O381" s="5">
        <f>DATE(Tabela1[[#This Row],[vigencia ano]],Tabela1[[#This Row],[vigencia mês]],Tabela1[[#This Row],[vigencia dia]])</f>
        <v>47581</v>
      </c>
    </row>
    <row r="382" spans="1:15" x14ac:dyDescent="0.25">
      <c r="A382" t="s">
        <v>41</v>
      </c>
      <c r="B382" t="s">
        <v>1585</v>
      </c>
      <c r="C382" s="1">
        <v>31852609000112</v>
      </c>
      <c r="D382" t="s">
        <v>1586</v>
      </c>
      <c r="E382" t="s">
        <v>1587</v>
      </c>
      <c r="F382" t="s">
        <v>24</v>
      </c>
      <c r="G382">
        <v>33206004</v>
      </c>
      <c r="H382" t="s">
        <v>1590</v>
      </c>
      <c r="I382" t="s">
        <v>1589</v>
      </c>
      <c r="J382" t="s">
        <v>56</v>
      </c>
      <c r="K382">
        <v>8</v>
      </c>
      <c r="L382">
        <v>16</v>
      </c>
      <c r="M382">
        <v>2029</v>
      </c>
      <c r="N382" t="s">
        <v>47</v>
      </c>
      <c r="O382" s="5">
        <f>DATE(Tabela1[[#This Row],[vigencia ano]],Tabela1[[#This Row],[vigencia mês]],Tabela1[[#This Row],[vigencia dia]])</f>
        <v>47581</v>
      </c>
    </row>
    <row r="383" spans="1:15" x14ac:dyDescent="0.25">
      <c r="A383" t="s">
        <v>41</v>
      </c>
      <c r="B383" t="s">
        <v>1591</v>
      </c>
      <c r="C383" s="1">
        <v>39488901000100</v>
      </c>
      <c r="D383" t="s">
        <v>1592</v>
      </c>
      <c r="E383" t="s">
        <v>1587</v>
      </c>
      <c r="F383" t="s">
        <v>24</v>
      </c>
      <c r="G383">
        <v>33200412</v>
      </c>
      <c r="H383" t="s">
        <v>1593</v>
      </c>
      <c r="I383" t="s">
        <v>1594</v>
      </c>
      <c r="J383" t="s">
        <v>56</v>
      </c>
      <c r="K383">
        <v>10</v>
      </c>
      <c r="L383">
        <v>8</v>
      </c>
      <c r="M383">
        <v>2031</v>
      </c>
      <c r="N383" t="s">
        <v>47</v>
      </c>
      <c r="O383" s="5">
        <f>DATE(Tabela1[[#This Row],[vigencia ano]],Tabela1[[#This Row],[vigencia mês]],Tabela1[[#This Row],[vigencia dia]])</f>
        <v>48070</v>
      </c>
    </row>
    <row r="384" spans="1:15" x14ac:dyDescent="0.25">
      <c r="A384" t="s">
        <v>41</v>
      </c>
      <c r="B384" t="s">
        <v>1595</v>
      </c>
      <c r="C384" s="1">
        <v>13360985000108</v>
      </c>
      <c r="D384" t="s">
        <v>1596</v>
      </c>
      <c r="E384" t="s">
        <v>1587</v>
      </c>
      <c r="F384" t="s">
        <v>24</v>
      </c>
      <c r="G384">
        <v>33200000</v>
      </c>
      <c r="H384" t="s">
        <v>1597</v>
      </c>
      <c r="I384" t="s">
        <v>1598</v>
      </c>
      <c r="J384" t="s">
        <v>56</v>
      </c>
      <c r="K384">
        <v>1</v>
      </c>
      <c r="L384">
        <v>18</v>
      </c>
      <c r="M384">
        <v>2029</v>
      </c>
      <c r="N384" t="s">
        <v>47</v>
      </c>
      <c r="O384" s="5">
        <f>DATE(Tabela1[[#This Row],[vigencia ano]],Tabela1[[#This Row],[vigencia mês]],Tabela1[[#This Row],[vigencia dia]])</f>
        <v>47635</v>
      </c>
    </row>
    <row r="385" spans="1:15" x14ac:dyDescent="0.25">
      <c r="A385" t="s">
        <v>41</v>
      </c>
      <c r="B385" t="s">
        <v>1599</v>
      </c>
      <c r="C385" s="1">
        <v>40281568000142</v>
      </c>
      <c r="D385" t="s">
        <v>1600</v>
      </c>
      <c r="E385" t="s">
        <v>1587</v>
      </c>
      <c r="F385" t="s">
        <v>24</v>
      </c>
      <c r="G385">
        <v>33200412</v>
      </c>
      <c r="H385" t="s">
        <v>1601</v>
      </c>
      <c r="I385" t="s">
        <v>1602</v>
      </c>
      <c r="J385" t="s">
        <v>56</v>
      </c>
      <c r="K385">
        <v>5</v>
      </c>
      <c r="L385">
        <v>19</v>
      </c>
      <c r="M385">
        <v>2032</v>
      </c>
      <c r="N385" t="s">
        <v>47</v>
      </c>
      <c r="O385" s="5">
        <f>DATE(Tabela1[[#This Row],[vigencia ano]],Tabela1[[#This Row],[vigencia mês]],Tabela1[[#This Row],[vigencia dia]])</f>
        <v>48765</v>
      </c>
    </row>
    <row r="386" spans="1:15" x14ac:dyDescent="0.25">
      <c r="A386" t="s">
        <v>41</v>
      </c>
      <c r="B386" t="s">
        <v>1603</v>
      </c>
      <c r="C386" s="1">
        <v>7744919000139</v>
      </c>
      <c r="D386" t="s">
        <v>1604</v>
      </c>
      <c r="E386" t="s">
        <v>1605</v>
      </c>
      <c r="F386" t="s">
        <v>25</v>
      </c>
      <c r="G386">
        <v>29015140</v>
      </c>
      <c r="H386" t="s">
        <v>1606</v>
      </c>
      <c r="I386" t="s">
        <v>1607</v>
      </c>
      <c r="J386" t="s">
        <v>56</v>
      </c>
      <c r="K386">
        <v>7</v>
      </c>
      <c r="L386">
        <v>18</v>
      </c>
      <c r="M386">
        <v>2027</v>
      </c>
      <c r="N386" t="s">
        <v>47</v>
      </c>
      <c r="O386" s="5">
        <f>DATE(Tabela1[[#This Row],[vigencia ano]],Tabela1[[#This Row],[vigencia mês]],Tabela1[[#This Row],[vigencia dia]])</f>
        <v>46911</v>
      </c>
    </row>
    <row r="387" spans="1:15" x14ac:dyDescent="0.25">
      <c r="A387" t="s">
        <v>41</v>
      </c>
      <c r="B387" t="s">
        <v>1608</v>
      </c>
      <c r="C387" s="1">
        <v>34585275000237</v>
      </c>
      <c r="D387" t="s">
        <v>1609</v>
      </c>
      <c r="E387" t="s">
        <v>1605</v>
      </c>
      <c r="F387" t="s">
        <v>25</v>
      </c>
      <c r="G387">
        <v>29730000</v>
      </c>
      <c r="H387" t="s">
        <v>1610</v>
      </c>
      <c r="I387" t="s">
        <v>1611</v>
      </c>
      <c r="J387" t="s">
        <v>56</v>
      </c>
      <c r="K387">
        <v>5</v>
      </c>
      <c r="L387">
        <v>24</v>
      </c>
      <c r="M387">
        <v>2032</v>
      </c>
      <c r="N387" t="s">
        <v>47</v>
      </c>
      <c r="O387" s="5">
        <f>DATE(Tabela1[[#This Row],[vigencia ano]],Tabela1[[#This Row],[vigencia mês]],Tabela1[[#This Row],[vigencia dia]])</f>
        <v>48918</v>
      </c>
    </row>
    <row r="388" spans="1:15" x14ac:dyDescent="0.25">
      <c r="A388" t="s">
        <v>41</v>
      </c>
      <c r="B388" t="s">
        <v>1612</v>
      </c>
      <c r="C388" s="1">
        <v>9452900000144</v>
      </c>
      <c r="D388" t="s">
        <v>1613</v>
      </c>
      <c r="E388" t="s">
        <v>1605</v>
      </c>
      <c r="F388" t="s">
        <v>25</v>
      </c>
      <c r="G388">
        <v>29148901</v>
      </c>
      <c r="H388" t="s">
        <v>1614</v>
      </c>
      <c r="I388" t="s">
        <v>1615</v>
      </c>
      <c r="J388" t="s">
        <v>56</v>
      </c>
      <c r="K388">
        <v>10</v>
      </c>
      <c r="L388">
        <v>19</v>
      </c>
      <c r="M388">
        <v>2028</v>
      </c>
      <c r="N388" t="s">
        <v>47</v>
      </c>
      <c r="O388" s="5">
        <f>DATE(Tabela1[[#This Row],[vigencia ano]],Tabela1[[#This Row],[vigencia mês]],Tabela1[[#This Row],[vigencia dia]])</f>
        <v>47309</v>
      </c>
    </row>
    <row r="389" spans="1:15" x14ac:dyDescent="0.25">
      <c r="A389" t="s">
        <v>41</v>
      </c>
      <c r="B389" t="s">
        <v>1616</v>
      </c>
      <c r="C389" s="1">
        <v>27487297000118</v>
      </c>
      <c r="D389" t="s">
        <v>1617</v>
      </c>
      <c r="E389" t="s">
        <v>1618</v>
      </c>
      <c r="F389" t="s">
        <v>25</v>
      </c>
      <c r="G389">
        <v>29705760</v>
      </c>
      <c r="H389" t="s">
        <v>1619</v>
      </c>
      <c r="I389" t="s">
        <v>1620</v>
      </c>
      <c r="J389" t="s">
        <v>56</v>
      </c>
      <c r="K389">
        <v>7</v>
      </c>
      <c r="L389">
        <v>11</v>
      </c>
      <c r="M389">
        <v>2029</v>
      </c>
      <c r="N389" t="s">
        <v>47</v>
      </c>
      <c r="O389" s="5">
        <f>DATE(Tabela1[[#This Row],[vigencia ano]],Tabela1[[#This Row],[vigencia mês]],Tabela1[[#This Row],[vigencia dia]])</f>
        <v>47429</v>
      </c>
    </row>
    <row r="390" spans="1:15" x14ac:dyDescent="0.25">
      <c r="A390" t="s">
        <v>41</v>
      </c>
      <c r="B390" t="s">
        <v>1621</v>
      </c>
      <c r="C390" s="1">
        <v>13902480000128</v>
      </c>
      <c r="D390" t="s">
        <v>1622</v>
      </c>
      <c r="E390" t="s">
        <v>1623</v>
      </c>
      <c r="F390" t="s">
        <v>25</v>
      </c>
      <c r="G390">
        <v>29167032</v>
      </c>
      <c r="H390" t="s">
        <v>1624</v>
      </c>
      <c r="I390" t="s">
        <v>1625</v>
      </c>
      <c r="J390" t="s">
        <v>56</v>
      </c>
      <c r="K390">
        <v>2</v>
      </c>
      <c r="L390">
        <v>14</v>
      </c>
      <c r="M390">
        <v>2035</v>
      </c>
      <c r="N390" t="s">
        <v>1626</v>
      </c>
      <c r="O390" s="5">
        <f>DATE(Tabela1[[#This Row],[vigencia ano]],Tabela1[[#This Row],[vigencia mês]],Tabela1[[#This Row],[vigencia dia]])</f>
        <v>49707</v>
      </c>
    </row>
    <row r="391" spans="1:15" x14ac:dyDescent="0.25">
      <c r="A391" t="s">
        <v>41</v>
      </c>
      <c r="B391" t="s">
        <v>1627</v>
      </c>
      <c r="C391" s="1">
        <v>32466732000168</v>
      </c>
      <c r="D391" t="s">
        <v>1628</v>
      </c>
      <c r="E391" t="s">
        <v>1623</v>
      </c>
      <c r="F391" t="s">
        <v>25</v>
      </c>
      <c r="G391">
        <v>29164153</v>
      </c>
      <c r="H391" t="s">
        <v>1629</v>
      </c>
      <c r="I391" t="s">
        <v>1630</v>
      </c>
      <c r="J391" t="s">
        <v>56</v>
      </c>
      <c r="K391">
        <v>5</v>
      </c>
      <c r="L391">
        <v>4</v>
      </c>
      <c r="M391">
        <v>2036</v>
      </c>
      <c r="N391" t="s">
        <v>1631</v>
      </c>
      <c r="O391" s="5">
        <f>DATE(Tabela1[[#This Row],[vigencia ano]],Tabela1[[#This Row],[vigencia mês]],Tabela1[[#This Row],[vigencia dia]])</f>
        <v>49770</v>
      </c>
    </row>
    <row r="392" spans="1:15" x14ac:dyDescent="0.25">
      <c r="A392" t="s">
        <v>41</v>
      </c>
      <c r="B392" t="s">
        <v>1632</v>
      </c>
      <c r="C392" s="1">
        <v>5593147000156</v>
      </c>
      <c r="D392" t="s">
        <v>1633</v>
      </c>
      <c r="E392" t="s">
        <v>1623</v>
      </c>
      <c r="F392" t="s">
        <v>25</v>
      </c>
      <c r="G392">
        <v>29168070</v>
      </c>
      <c r="H392" t="s">
        <v>1634</v>
      </c>
      <c r="I392" t="s">
        <v>1635</v>
      </c>
      <c r="J392" t="s">
        <v>56</v>
      </c>
      <c r="K392">
        <v>6</v>
      </c>
      <c r="L392">
        <v>25</v>
      </c>
      <c r="M392">
        <v>2031</v>
      </c>
      <c r="N392" t="s">
        <v>47</v>
      </c>
      <c r="O392" s="5">
        <f>DATE(Tabela1[[#This Row],[vigencia ano]],Tabela1[[#This Row],[vigencia mês]],Tabela1[[#This Row],[vigencia dia]])</f>
        <v>48585</v>
      </c>
    </row>
    <row r="393" spans="1:15" x14ac:dyDescent="0.25">
      <c r="A393" t="s">
        <v>41</v>
      </c>
      <c r="B393" t="s">
        <v>1636</v>
      </c>
      <c r="C393" s="1">
        <v>32492373000113</v>
      </c>
      <c r="D393" t="s">
        <v>1637</v>
      </c>
      <c r="E393" t="s">
        <v>1623</v>
      </c>
      <c r="F393" t="s">
        <v>25</v>
      </c>
      <c r="G393">
        <v>29166820</v>
      </c>
      <c r="H393" t="s">
        <v>1638</v>
      </c>
      <c r="I393" t="s">
        <v>1639</v>
      </c>
      <c r="J393" t="s">
        <v>46</v>
      </c>
      <c r="K393">
        <v>6</v>
      </c>
      <c r="L393">
        <v>30</v>
      </c>
      <c r="M393">
        <v>2020</v>
      </c>
      <c r="N393" t="s">
        <v>47</v>
      </c>
      <c r="O393" s="5">
        <f>DATE(Tabela1[[#This Row],[vigencia ano]],Tabela1[[#This Row],[vigencia mês]],Tabela1[[#This Row],[vigencia dia]])</f>
        <v>44718</v>
      </c>
    </row>
    <row r="394" spans="1:15" x14ac:dyDescent="0.25">
      <c r="A394" t="s">
        <v>41</v>
      </c>
      <c r="B394" t="s">
        <v>1640</v>
      </c>
      <c r="C394" s="1">
        <v>32429373000113</v>
      </c>
      <c r="D394" t="s">
        <v>1637</v>
      </c>
      <c r="E394" t="s">
        <v>1623</v>
      </c>
      <c r="F394" t="s">
        <v>25</v>
      </c>
      <c r="G394">
        <v>29166820</v>
      </c>
      <c r="H394" t="s">
        <v>1641</v>
      </c>
      <c r="I394" t="s">
        <v>1642</v>
      </c>
      <c r="J394" t="s">
        <v>56</v>
      </c>
      <c r="K394">
        <v>7</v>
      </c>
      <c r="L394">
        <v>13</v>
      </c>
      <c r="M394">
        <v>2030</v>
      </c>
      <c r="N394" t="s">
        <v>47</v>
      </c>
      <c r="O394" s="5">
        <f>DATE(Tabela1[[#This Row],[vigencia ano]],Tabela1[[#This Row],[vigencia mês]],Tabela1[[#This Row],[vigencia dia]])</f>
        <v>47855</v>
      </c>
    </row>
    <row r="395" spans="1:15" x14ac:dyDescent="0.25">
      <c r="A395" t="s">
        <v>41</v>
      </c>
      <c r="B395" t="s">
        <v>1643</v>
      </c>
      <c r="C395" s="1">
        <v>18899804000130</v>
      </c>
      <c r="D395" t="s">
        <v>1644</v>
      </c>
      <c r="E395" t="s">
        <v>1623</v>
      </c>
      <c r="F395" t="s">
        <v>25</v>
      </c>
      <c r="G395">
        <v>29167080</v>
      </c>
      <c r="H395" t="s">
        <v>1645</v>
      </c>
      <c r="I395" t="s">
        <v>1646</v>
      </c>
      <c r="J395" t="s">
        <v>56</v>
      </c>
      <c r="K395">
        <v>5</v>
      </c>
      <c r="L395">
        <v>31</v>
      </c>
      <c r="M395">
        <v>2029</v>
      </c>
      <c r="N395" t="s">
        <v>47</v>
      </c>
      <c r="O395" s="5">
        <f>DATE(Tabela1[[#This Row],[vigencia ano]],Tabela1[[#This Row],[vigencia mês]],Tabela1[[#This Row],[vigencia dia]])</f>
        <v>48034</v>
      </c>
    </row>
    <row r="396" spans="1:15" x14ac:dyDescent="0.25">
      <c r="A396" t="s">
        <v>41</v>
      </c>
      <c r="B396" t="s">
        <v>1647</v>
      </c>
      <c r="C396" s="1">
        <v>10750264000116</v>
      </c>
      <c r="D396" t="s">
        <v>1648</v>
      </c>
      <c r="E396" t="s">
        <v>1623</v>
      </c>
      <c r="F396" t="s">
        <v>25</v>
      </c>
      <c r="G396">
        <v>29175706</v>
      </c>
      <c r="H396" t="s">
        <v>1649</v>
      </c>
      <c r="I396" t="s">
        <v>1650</v>
      </c>
      <c r="J396" t="s">
        <v>56</v>
      </c>
      <c r="K396">
        <v>8</v>
      </c>
      <c r="L396">
        <v>7</v>
      </c>
      <c r="M396">
        <v>2034</v>
      </c>
      <c r="N396" t="s">
        <v>47</v>
      </c>
      <c r="O396" s="5">
        <f>DATE(Tabela1[[#This Row],[vigencia ano]],Tabela1[[#This Row],[vigencia mês]],Tabela1[[#This Row],[vigencia dia]])</f>
        <v>49133</v>
      </c>
    </row>
    <row r="397" spans="1:15" x14ac:dyDescent="0.25">
      <c r="A397" t="s">
        <v>41</v>
      </c>
      <c r="B397" t="s">
        <v>1651</v>
      </c>
      <c r="C397" s="1">
        <v>17524342000103</v>
      </c>
      <c r="D397" t="s">
        <v>1652</v>
      </c>
      <c r="E397" t="s">
        <v>1623</v>
      </c>
      <c r="F397" t="s">
        <v>25</v>
      </c>
      <c r="G397">
        <v>29165680</v>
      </c>
      <c r="H397" t="s">
        <v>1653</v>
      </c>
      <c r="I397" t="s">
        <v>1654</v>
      </c>
      <c r="J397" t="s">
        <v>56</v>
      </c>
      <c r="K397">
        <v>8</v>
      </c>
      <c r="L397">
        <v>14</v>
      </c>
      <c r="M397">
        <v>2029</v>
      </c>
      <c r="N397" t="s">
        <v>47</v>
      </c>
      <c r="O397" s="5">
        <f>DATE(Tabela1[[#This Row],[vigencia ano]],Tabela1[[#This Row],[vigencia mês]],Tabela1[[#This Row],[vigencia dia]])</f>
        <v>47522</v>
      </c>
    </row>
    <row r="398" spans="1:15" x14ac:dyDescent="0.25">
      <c r="A398" t="s">
        <v>41</v>
      </c>
      <c r="B398" t="s">
        <v>1655</v>
      </c>
      <c r="C398" s="1">
        <v>4838701000155</v>
      </c>
      <c r="D398" t="s">
        <v>1656</v>
      </c>
      <c r="E398" t="s">
        <v>1623</v>
      </c>
      <c r="F398" t="s">
        <v>25</v>
      </c>
      <c r="G398">
        <v>29161384</v>
      </c>
      <c r="H398" t="s">
        <v>1657</v>
      </c>
      <c r="I398" t="s">
        <v>1658</v>
      </c>
      <c r="J398" t="s">
        <v>56</v>
      </c>
      <c r="K398">
        <v>11</v>
      </c>
      <c r="L398">
        <v>11</v>
      </c>
      <c r="M398">
        <v>2030</v>
      </c>
      <c r="N398" t="s">
        <v>47</v>
      </c>
      <c r="O398" s="5">
        <f>DATE(Tabela1[[#This Row],[vigencia ano]],Tabela1[[#This Row],[vigencia mês]],Tabela1[[#This Row],[vigencia dia]])</f>
        <v>47798</v>
      </c>
    </row>
    <row r="399" spans="1:15" x14ac:dyDescent="0.25">
      <c r="A399" t="s">
        <v>41</v>
      </c>
      <c r="B399" t="s">
        <v>1659</v>
      </c>
      <c r="C399" s="1">
        <v>17803300000101</v>
      </c>
      <c r="D399" t="s">
        <v>1660</v>
      </c>
      <c r="E399" t="s">
        <v>1623</v>
      </c>
      <c r="F399" t="s">
        <v>25</v>
      </c>
      <c r="G399">
        <v>29168070</v>
      </c>
      <c r="H399" t="s">
        <v>1634</v>
      </c>
      <c r="I399" t="s">
        <v>1661</v>
      </c>
      <c r="J399" t="s">
        <v>56</v>
      </c>
      <c r="K399">
        <v>6</v>
      </c>
      <c r="L399">
        <v>25</v>
      </c>
      <c r="M399">
        <v>2031</v>
      </c>
      <c r="N399" t="s">
        <v>47</v>
      </c>
      <c r="O399" s="5">
        <f>DATE(Tabela1[[#This Row],[vigencia ano]],Tabela1[[#This Row],[vigencia mês]],Tabela1[[#This Row],[vigencia dia]])</f>
        <v>48585</v>
      </c>
    </row>
    <row r="400" spans="1:15" x14ac:dyDescent="0.25">
      <c r="A400" t="s">
        <v>41</v>
      </c>
      <c r="B400" t="s">
        <v>1662</v>
      </c>
      <c r="C400" s="1">
        <v>19352454000150</v>
      </c>
      <c r="D400" t="s">
        <v>1663</v>
      </c>
      <c r="E400" t="s">
        <v>1664</v>
      </c>
      <c r="F400" t="s">
        <v>25</v>
      </c>
      <c r="G400">
        <v>26136522</v>
      </c>
      <c r="H400" t="s">
        <v>1665</v>
      </c>
      <c r="I400" t="s">
        <v>1666</v>
      </c>
      <c r="J400" t="s">
        <v>56</v>
      </c>
      <c r="K400">
        <v>7</v>
      </c>
      <c r="L400">
        <v>28</v>
      </c>
      <c r="M400">
        <v>2026</v>
      </c>
      <c r="N400" t="s">
        <v>47</v>
      </c>
      <c r="O400" s="5">
        <f>DATE(Tabela1[[#This Row],[vigencia ano]],Tabela1[[#This Row],[vigencia mês]],Tabela1[[#This Row],[vigencia dia]])</f>
        <v>46850</v>
      </c>
    </row>
    <row r="401" spans="1:15" x14ac:dyDescent="0.25">
      <c r="A401" t="s">
        <v>41</v>
      </c>
      <c r="B401" t="s">
        <v>1667</v>
      </c>
      <c r="C401" s="1">
        <v>54177877000181</v>
      </c>
      <c r="D401" t="s">
        <v>1668</v>
      </c>
      <c r="E401" t="s">
        <v>1669</v>
      </c>
      <c r="F401" t="s">
        <v>25</v>
      </c>
      <c r="G401">
        <v>29102245</v>
      </c>
      <c r="H401" t="s">
        <v>1670</v>
      </c>
      <c r="I401" t="s">
        <v>1671</v>
      </c>
      <c r="J401" t="s">
        <v>56</v>
      </c>
      <c r="K401">
        <v>4</v>
      </c>
      <c r="L401">
        <v>11</v>
      </c>
      <c r="M401">
        <v>2034</v>
      </c>
      <c r="N401" t="s">
        <v>47</v>
      </c>
      <c r="O401" s="5">
        <f>DATE(Tabela1[[#This Row],[vigencia ano]],Tabela1[[#This Row],[vigencia mês]],Tabela1[[#This Row],[vigencia dia]])</f>
        <v>49252</v>
      </c>
    </row>
    <row r="402" spans="1:15" x14ac:dyDescent="0.25">
      <c r="A402" t="s">
        <v>41</v>
      </c>
      <c r="B402" t="s">
        <v>1672</v>
      </c>
      <c r="C402" s="1">
        <v>29090318000192</v>
      </c>
      <c r="D402" t="s">
        <v>1673</v>
      </c>
      <c r="E402" t="s">
        <v>1669</v>
      </c>
      <c r="F402" t="s">
        <v>25</v>
      </c>
      <c r="G402">
        <v>29100021</v>
      </c>
      <c r="H402" t="s">
        <v>1674</v>
      </c>
      <c r="I402" t="s">
        <v>1675</v>
      </c>
      <c r="J402" t="s">
        <v>56</v>
      </c>
      <c r="K402">
        <v>2</v>
      </c>
      <c r="L402">
        <v>6</v>
      </c>
      <c r="M402">
        <v>2028</v>
      </c>
      <c r="N402" t="s">
        <v>47</v>
      </c>
      <c r="O402" s="5">
        <f>DATE(Tabela1[[#This Row],[vigencia ano]],Tabela1[[#This Row],[vigencia mês]],Tabela1[[#This Row],[vigencia dia]])</f>
        <v>46906</v>
      </c>
    </row>
    <row r="403" spans="1:15" x14ac:dyDescent="0.25">
      <c r="A403" t="s">
        <v>41</v>
      </c>
      <c r="B403" t="s">
        <v>1676</v>
      </c>
      <c r="C403" s="1">
        <v>21099258000167</v>
      </c>
      <c r="D403" t="s">
        <v>1677</v>
      </c>
      <c r="E403" t="s">
        <v>1669</v>
      </c>
      <c r="F403" t="s">
        <v>25</v>
      </c>
      <c r="G403">
        <v>29101030</v>
      </c>
      <c r="H403" t="s">
        <v>1674</v>
      </c>
      <c r="I403" t="s">
        <v>1678</v>
      </c>
      <c r="J403" t="s">
        <v>56</v>
      </c>
      <c r="K403">
        <v>2</v>
      </c>
      <c r="L403">
        <v>2</v>
      </c>
      <c r="M403">
        <v>2028</v>
      </c>
      <c r="N403" t="s">
        <v>47</v>
      </c>
      <c r="O403" s="5">
        <f>DATE(Tabela1[[#This Row],[vigencia ano]],Tabela1[[#This Row],[vigencia mês]],Tabela1[[#This Row],[vigencia dia]])</f>
        <v>46785</v>
      </c>
    </row>
    <row r="404" spans="1:15" x14ac:dyDescent="0.25">
      <c r="A404" t="s">
        <v>41</v>
      </c>
      <c r="B404" t="s">
        <v>1679</v>
      </c>
      <c r="C404" s="1">
        <v>28327069000143</v>
      </c>
      <c r="D404" t="s">
        <v>1680</v>
      </c>
      <c r="E404" t="s">
        <v>1681</v>
      </c>
      <c r="F404" t="s">
        <v>25</v>
      </c>
      <c r="G404">
        <v>29052290</v>
      </c>
      <c r="H404" t="s">
        <v>1682</v>
      </c>
      <c r="I404" t="s">
        <v>1683</v>
      </c>
      <c r="J404" t="s">
        <v>56</v>
      </c>
      <c r="K404">
        <v>9</v>
      </c>
      <c r="L404">
        <v>21</v>
      </c>
      <c r="M404">
        <v>2028</v>
      </c>
      <c r="N404" t="s">
        <v>47</v>
      </c>
      <c r="O404" s="5">
        <f>DATE(Tabela1[[#This Row],[vigencia ano]],Tabela1[[#This Row],[vigencia mês]],Tabela1[[#This Row],[vigencia dia]])</f>
        <v>47370</v>
      </c>
    </row>
    <row r="405" spans="1:15" x14ac:dyDescent="0.25">
      <c r="A405" t="s">
        <v>41</v>
      </c>
      <c r="B405" t="s">
        <v>1684</v>
      </c>
      <c r="C405" s="1">
        <v>43456021000129</v>
      </c>
      <c r="D405" t="s">
        <v>1685</v>
      </c>
      <c r="E405" t="s">
        <v>1681</v>
      </c>
      <c r="F405" t="s">
        <v>25</v>
      </c>
      <c r="G405">
        <v>29052290</v>
      </c>
      <c r="H405" t="s">
        <v>1682</v>
      </c>
      <c r="I405" t="s">
        <v>1686</v>
      </c>
      <c r="J405" t="s">
        <v>56</v>
      </c>
      <c r="K405">
        <v>5</v>
      </c>
      <c r="L405">
        <v>9</v>
      </c>
      <c r="M405">
        <v>2032</v>
      </c>
      <c r="N405" t="s">
        <v>47</v>
      </c>
      <c r="O405" s="5">
        <f>DATE(Tabela1[[#This Row],[vigencia ano]],Tabela1[[#This Row],[vigencia mês]],Tabela1[[#This Row],[vigencia dia]])</f>
        <v>48462</v>
      </c>
    </row>
    <row r="406" spans="1:15" x14ac:dyDescent="0.25">
      <c r="A406" t="s">
        <v>41</v>
      </c>
      <c r="B406" t="s">
        <v>1687</v>
      </c>
      <c r="C406" s="1">
        <v>4626426000106</v>
      </c>
      <c r="D406" t="s">
        <v>1688</v>
      </c>
      <c r="E406" t="s">
        <v>1681</v>
      </c>
      <c r="F406" t="s">
        <v>25</v>
      </c>
      <c r="G406">
        <v>4626426</v>
      </c>
      <c r="H406" t="s">
        <v>1689</v>
      </c>
      <c r="I406" t="s">
        <v>1690</v>
      </c>
      <c r="J406" t="s">
        <v>56</v>
      </c>
      <c r="K406">
        <v>2</v>
      </c>
      <c r="L406">
        <v>20</v>
      </c>
      <c r="M406">
        <v>2035</v>
      </c>
      <c r="N406" t="s">
        <v>1691</v>
      </c>
      <c r="O406" s="5">
        <f>DATE(Tabela1[[#This Row],[vigencia ano]],Tabela1[[#This Row],[vigencia mês]],Tabela1[[#This Row],[vigencia dia]])</f>
        <v>49889</v>
      </c>
    </row>
    <row r="407" spans="1:15" x14ac:dyDescent="0.25">
      <c r="A407" t="s">
        <v>41</v>
      </c>
      <c r="B407" t="s">
        <v>1692</v>
      </c>
      <c r="C407" s="1">
        <v>32681371000172</v>
      </c>
      <c r="D407" t="s">
        <v>1693</v>
      </c>
      <c r="E407" t="s">
        <v>1681</v>
      </c>
      <c r="F407" t="s">
        <v>25</v>
      </c>
      <c r="G407">
        <v>29075140</v>
      </c>
      <c r="H407" t="s">
        <v>1614</v>
      </c>
      <c r="I407" t="s">
        <v>1694</v>
      </c>
      <c r="J407" t="s">
        <v>56</v>
      </c>
      <c r="K407">
        <v>10</v>
      </c>
      <c r="L407">
        <v>19</v>
      </c>
      <c r="M407">
        <v>2028</v>
      </c>
      <c r="N407" t="s">
        <v>47</v>
      </c>
      <c r="O407" s="5">
        <f>DATE(Tabela1[[#This Row],[vigencia ano]],Tabela1[[#This Row],[vigencia mês]],Tabela1[[#This Row],[vigencia dia]])</f>
        <v>47309</v>
      </c>
    </row>
    <row r="408" spans="1:15" x14ac:dyDescent="0.25">
      <c r="A408" t="s">
        <v>41</v>
      </c>
      <c r="B408" t="s">
        <v>1695</v>
      </c>
      <c r="C408" s="1">
        <v>41905203000104</v>
      </c>
      <c r="D408" t="s">
        <v>1696</v>
      </c>
      <c r="E408" t="s">
        <v>1697</v>
      </c>
      <c r="F408" t="s">
        <v>7</v>
      </c>
      <c r="G408">
        <v>27365020</v>
      </c>
      <c r="H408" t="s">
        <v>1698</v>
      </c>
      <c r="I408" t="s">
        <v>1699</v>
      </c>
      <c r="J408" t="s">
        <v>56</v>
      </c>
      <c r="K408">
        <v>10</v>
      </c>
      <c r="L408">
        <v>27</v>
      </c>
      <c r="M408">
        <v>2031</v>
      </c>
      <c r="N408" t="s">
        <v>47</v>
      </c>
      <c r="O408" s="5">
        <f>DATE(Tabela1[[#This Row],[vigencia ano]],Tabela1[[#This Row],[vigencia mês]],Tabela1[[#This Row],[vigencia dia]])</f>
        <v>48648</v>
      </c>
    </row>
    <row r="409" spans="1:15" x14ac:dyDescent="0.25">
      <c r="A409" t="s">
        <v>41</v>
      </c>
      <c r="B409" t="s">
        <v>1695</v>
      </c>
      <c r="C409" s="1">
        <v>41905203000104</v>
      </c>
      <c r="D409" t="s">
        <v>1696</v>
      </c>
      <c r="E409" t="s">
        <v>1697</v>
      </c>
      <c r="F409" t="s">
        <v>7</v>
      </c>
      <c r="G409">
        <v>27365020</v>
      </c>
      <c r="H409" t="s">
        <v>1700</v>
      </c>
      <c r="I409" t="s">
        <v>1699</v>
      </c>
      <c r="J409" t="s">
        <v>56</v>
      </c>
      <c r="K409">
        <v>10</v>
      </c>
      <c r="L409">
        <v>27</v>
      </c>
      <c r="M409">
        <v>2031</v>
      </c>
      <c r="N409" t="s">
        <v>47</v>
      </c>
      <c r="O409" s="5">
        <f>DATE(Tabela1[[#This Row],[vigencia ano]],Tabela1[[#This Row],[vigencia mês]],Tabela1[[#This Row],[vigencia dia]])</f>
        <v>48648</v>
      </c>
    </row>
    <row r="410" spans="1:15" x14ac:dyDescent="0.25">
      <c r="A410" t="s">
        <v>41</v>
      </c>
      <c r="B410" t="s">
        <v>1701</v>
      </c>
      <c r="C410" s="1">
        <v>7895102000161</v>
      </c>
      <c r="D410" t="s">
        <v>1702</v>
      </c>
      <c r="E410" t="s">
        <v>1703</v>
      </c>
      <c r="F410" t="s">
        <v>7</v>
      </c>
      <c r="G410">
        <v>28905970</v>
      </c>
      <c r="H410" t="s">
        <v>1704</v>
      </c>
      <c r="I410" t="s">
        <v>1705</v>
      </c>
      <c r="J410" t="s">
        <v>56</v>
      </c>
      <c r="K410">
        <v>11</v>
      </c>
      <c r="L410">
        <v>6</v>
      </c>
      <c r="M410">
        <v>2029</v>
      </c>
      <c r="N410" t="s">
        <v>47</v>
      </c>
      <c r="O410" s="5">
        <f>DATE(Tabela1[[#This Row],[vigencia ano]],Tabela1[[#This Row],[vigencia mês]],Tabela1[[#This Row],[vigencia dia]])</f>
        <v>47280</v>
      </c>
    </row>
    <row r="411" spans="1:15" x14ac:dyDescent="0.25">
      <c r="A411" t="s">
        <v>41</v>
      </c>
      <c r="B411" t="s">
        <v>1706</v>
      </c>
      <c r="C411" s="1">
        <v>5551878000139</v>
      </c>
      <c r="D411" t="s">
        <v>1707</v>
      </c>
      <c r="E411" t="s">
        <v>1708</v>
      </c>
      <c r="F411" t="s">
        <v>7</v>
      </c>
      <c r="G411">
        <v>25230270</v>
      </c>
      <c r="H411" t="s">
        <v>1709</v>
      </c>
      <c r="I411" t="s">
        <v>1710</v>
      </c>
      <c r="J411" t="s">
        <v>56</v>
      </c>
      <c r="K411">
        <v>12</v>
      </c>
      <c r="L411">
        <v>2</v>
      </c>
      <c r="M411">
        <v>2025</v>
      </c>
      <c r="N411" t="s">
        <v>47</v>
      </c>
      <c r="O411" s="5">
        <f>DATE(Tabela1[[#This Row],[vigencia ano]],Tabela1[[#This Row],[vigencia mês]],Tabela1[[#This Row],[vigencia dia]])</f>
        <v>45700</v>
      </c>
    </row>
    <row r="412" spans="1:15" x14ac:dyDescent="0.25">
      <c r="A412" t="s">
        <v>41</v>
      </c>
      <c r="B412" t="s">
        <v>1711</v>
      </c>
      <c r="C412" s="1">
        <v>5214772000140</v>
      </c>
      <c r="D412" t="s">
        <v>1712</v>
      </c>
      <c r="E412" t="s">
        <v>1708</v>
      </c>
      <c r="F412" t="s">
        <v>7</v>
      </c>
      <c r="G412">
        <v>25055150</v>
      </c>
      <c r="H412" t="s">
        <v>1713</v>
      </c>
      <c r="I412" t="s">
        <v>1714</v>
      </c>
      <c r="J412" t="s">
        <v>56</v>
      </c>
      <c r="K412">
        <v>9</v>
      </c>
      <c r="L412">
        <v>21</v>
      </c>
      <c r="M412">
        <v>2025</v>
      </c>
      <c r="N412" t="s">
        <v>47</v>
      </c>
      <c r="O412" s="5">
        <f>DATE(Tabela1[[#This Row],[vigencia ano]],Tabela1[[#This Row],[vigencia mês]],Tabela1[[#This Row],[vigencia dia]])</f>
        <v>46274</v>
      </c>
    </row>
    <row r="413" spans="1:15" x14ac:dyDescent="0.25">
      <c r="A413" t="s">
        <v>41</v>
      </c>
      <c r="B413" t="s">
        <v>1715</v>
      </c>
      <c r="C413" s="1">
        <v>33570797000111</v>
      </c>
      <c r="D413" t="s">
        <v>1716</v>
      </c>
      <c r="E413" t="s">
        <v>1708</v>
      </c>
      <c r="F413" t="s">
        <v>7</v>
      </c>
      <c r="G413">
        <v>25055009</v>
      </c>
      <c r="H413" t="s">
        <v>1717</v>
      </c>
      <c r="I413" t="s">
        <v>1718</v>
      </c>
      <c r="J413" t="s">
        <v>56</v>
      </c>
      <c r="K413">
        <v>7</v>
      </c>
      <c r="L413">
        <v>2</v>
      </c>
      <c r="M413">
        <v>2035</v>
      </c>
      <c r="N413" t="s">
        <v>1719</v>
      </c>
      <c r="O413" s="5">
        <f>DATE(Tabela1[[#This Row],[vigencia ano]],Tabela1[[#This Row],[vigencia mês]],Tabela1[[#This Row],[vigencia dia]])</f>
        <v>49347</v>
      </c>
    </row>
    <row r="414" spans="1:15" x14ac:dyDescent="0.25">
      <c r="A414" t="s">
        <v>41</v>
      </c>
      <c r="B414" t="s">
        <v>1715</v>
      </c>
      <c r="C414" s="1">
        <v>33570797000111</v>
      </c>
      <c r="D414" t="s">
        <v>1716</v>
      </c>
      <c r="E414" t="s">
        <v>1708</v>
      </c>
      <c r="F414" t="s">
        <v>7</v>
      </c>
      <c r="G414">
        <v>25055009</v>
      </c>
      <c r="H414" t="s">
        <v>1720</v>
      </c>
      <c r="I414" t="s">
        <v>1718</v>
      </c>
      <c r="J414" t="s">
        <v>56</v>
      </c>
      <c r="K414">
        <v>7</v>
      </c>
      <c r="L414">
        <v>2</v>
      </c>
      <c r="M414">
        <v>2035</v>
      </c>
      <c r="N414" t="s">
        <v>1719</v>
      </c>
      <c r="O414" s="5">
        <f>DATE(Tabela1[[#This Row],[vigencia ano]],Tabela1[[#This Row],[vigencia mês]],Tabela1[[#This Row],[vigencia dia]])</f>
        <v>49347</v>
      </c>
    </row>
    <row r="415" spans="1:15" x14ac:dyDescent="0.25">
      <c r="A415" t="s">
        <v>41</v>
      </c>
      <c r="B415" t="s">
        <v>1721</v>
      </c>
      <c r="C415" s="1">
        <v>1117975000167</v>
      </c>
      <c r="D415" t="s">
        <v>1722</v>
      </c>
      <c r="E415" t="s">
        <v>1708</v>
      </c>
      <c r="F415" t="s">
        <v>7</v>
      </c>
      <c r="G415">
        <v>25215255</v>
      </c>
      <c r="H415" t="s">
        <v>1723</v>
      </c>
      <c r="I415" t="s">
        <v>1724</v>
      </c>
      <c r="J415" t="s">
        <v>56</v>
      </c>
      <c r="K415">
        <v>6</v>
      </c>
      <c r="L415">
        <v>25</v>
      </c>
      <c r="M415">
        <v>2031</v>
      </c>
      <c r="N415" t="s">
        <v>47</v>
      </c>
      <c r="O415" s="5">
        <f>DATE(Tabela1[[#This Row],[vigencia ano]],Tabela1[[#This Row],[vigencia mês]],Tabela1[[#This Row],[vigencia dia]])</f>
        <v>48585</v>
      </c>
    </row>
    <row r="416" spans="1:15" x14ac:dyDescent="0.25">
      <c r="A416" t="s">
        <v>41</v>
      </c>
      <c r="B416" t="s">
        <v>1725</v>
      </c>
      <c r="C416" s="1">
        <v>3797837000100</v>
      </c>
      <c r="D416" t="s">
        <v>1726</v>
      </c>
      <c r="E416" t="s">
        <v>1708</v>
      </c>
      <c r="F416" t="s">
        <v>7</v>
      </c>
      <c r="G416">
        <v>25070120</v>
      </c>
      <c r="H416" t="s">
        <v>1727</v>
      </c>
      <c r="I416" t="s">
        <v>1728</v>
      </c>
      <c r="J416" t="s">
        <v>56</v>
      </c>
      <c r="K416">
        <v>5</v>
      </c>
      <c r="L416">
        <v>10</v>
      </c>
      <c r="M416">
        <v>2026</v>
      </c>
      <c r="N416" t="s">
        <v>47</v>
      </c>
      <c r="O416" s="5">
        <f>DATE(Tabela1[[#This Row],[vigencia ano]],Tabela1[[#This Row],[vigencia mês]],Tabela1[[#This Row],[vigencia dia]])</f>
        <v>46300</v>
      </c>
    </row>
    <row r="417" spans="1:15" x14ac:dyDescent="0.25">
      <c r="A417" t="s">
        <v>41</v>
      </c>
      <c r="B417" t="s">
        <v>1729</v>
      </c>
      <c r="C417" s="1">
        <v>2565955000111</v>
      </c>
      <c r="D417" t="s">
        <v>1730</v>
      </c>
      <c r="E417" t="s">
        <v>1731</v>
      </c>
      <c r="F417" t="s">
        <v>7</v>
      </c>
      <c r="G417">
        <v>23825450</v>
      </c>
      <c r="H417" t="s">
        <v>1732</v>
      </c>
      <c r="I417" t="s">
        <v>1733</v>
      </c>
      <c r="J417" t="s">
        <v>56</v>
      </c>
      <c r="K417">
        <v>4</v>
      </c>
      <c r="L417">
        <v>9</v>
      </c>
      <c r="M417">
        <v>2034</v>
      </c>
      <c r="N417" t="s">
        <v>47</v>
      </c>
      <c r="O417" s="5">
        <f>DATE(Tabela1[[#This Row],[vigencia ano]],Tabela1[[#This Row],[vigencia mês]],Tabela1[[#This Row],[vigencia dia]])</f>
        <v>49191</v>
      </c>
    </row>
    <row r="418" spans="1:15" x14ac:dyDescent="0.25">
      <c r="A418" t="s">
        <v>41</v>
      </c>
      <c r="B418" t="s">
        <v>1734</v>
      </c>
      <c r="C418" s="1">
        <v>2394276000127</v>
      </c>
      <c r="D418" t="s">
        <v>1735</v>
      </c>
      <c r="E418" t="s">
        <v>1731</v>
      </c>
      <c r="F418" t="s">
        <v>7</v>
      </c>
      <c r="G418">
        <v>23826600</v>
      </c>
      <c r="H418" t="s">
        <v>1736</v>
      </c>
      <c r="I418" t="s">
        <v>1737</v>
      </c>
      <c r="J418" t="s">
        <v>56</v>
      </c>
      <c r="K418">
        <v>6</v>
      </c>
      <c r="L418">
        <v>22</v>
      </c>
      <c r="M418">
        <v>2026</v>
      </c>
      <c r="N418" t="s">
        <v>47</v>
      </c>
      <c r="O418" s="5">
        <f>DATE(Tabela1[[#This Row],[vigencia ano]],Tabela1[[#This Row],[vigencia mês]],Tabela1[[#This Row],[vigencia dia]])</f>
        <v>46666</v>
      </c>
    </row>
    <row r="419" spans="1:15" x14ac:dyDescent="0.25">
      <c r="A419" t="s">
        <v>41</v>
      </c>
      <c r="B419" t="s">
        <v>1738</v>
      </c>
      <c r="C419" s="1">
        <v>44832588000115</v>
      </c>
      <c r="D419" t="s">
        <v>1739</v>
      </c>
      <c r="E419" t="s">
        <v>1740</v>
      </c>
      <c r="F419" t="s">
        <v>7</v>
      </c>
      <c r="G419">
        <v>27916000</v>
      </c>
      <c r="H419" t="s">
        <v>1741</v>
      </c>
      <c r="I419" t="s">
        <v>1742</v>
      </c>
      <c r="J419" t="s">
        <v>56</v>
      </c>
      <c r="K419">
        <v>11</v>
      </c>
      <c r="L419">
        <v>7</v>
      </c>
      <c r="M419">
        <v>2033</v>
      </c>
      <c r="N419" t="s">
        <v>47</v>
      </c>
      <c r="O419" s="5">
        <f>DATE(Tabela1[[#This Row],[vigencia ano]],Tabela1[[#This Row],[vigencia mês]],Tabela1[[#This Row],[vigencia dia]])</f>
        <v>48771</v>
      </c>
    </row>
    <row r="420" spans="1:15" x14ac:dyDescent="0.25">
      <c r="A420" t="s">
        <v>41</v>
      </c>
      <c r="B420" t="s">
        <v>1743</v>
      </c>
      <c r="C420" s="1">
        <v>11010481000132</v>
      </c>
      <c r="D420" t="s">
        <v>1744</v>
      </c>
      <c r="E420" t="s">
        <v>1740</v>
      </c>
      <c r="F420" t="s">
        <v>7</v>
      </c>
      <c r="G420">
        <v>27963506</v>
      </c>
      <c r="H420" t="s">
        <v>1745</v>
      </c>
      <c r="I420" t="s">
        <v>1746</v>
      </c>
      <c r="J420" t="s">
        <v>56</v>
      </c>
      <c r="K420">
        <v>11</v>
      </c>
      <c r="L420">
        <v>26</v>
      </c>
      <c r="M420">
        <v>2029</v>
      </c>
      <c r="N420" t="s">
        <v>47</v>
      </c>
      <c r="O420" s="5">
        <f>DATE(Tabela1[[#This Row],[vigencia ano]],Tabela1[[#This Row],[vigencia mês]],Tabela1[[#This Row],[vigencia dia]])</f>
        <v>47890</v>
      </c>
    </row>
    <row r="421" spans="1:15" x14ac:dyDescent="0.25">
      <c r="A421" t="s">
        <v>41</v>
      </c>
      <c r="B421" t="s">
        <v>1743</v>
      </c>
      <c r="C421" s="1">
        <v>11010481000132</v>
      </c>
      <c r="D421" t="s">
        <v>1744</v>
      </c>
      <c r="E421" t="s">
        <v>1740</v>
      </c>
      <c r="F421" t="s">
        <v>7</v>
      </c>
      <c r="G421">
        <v>27963506</v>
      </c>
      <c r="H421" t="s">
        <v>1747</v>
      </c>
      <c r="I421" t="s">
        <v>1746</v>
      </c>
      <c r="J421" t="s">
        <v>56</v>
      </c>
      <c r="K421">
        <v>11</v>
      </c>
      <c r="L421">
        <v>26</v>
      </c>
      <c r="M421">
        <v>2029</v>
      </c>
      <c r="N421" t="s">
        <v>47</v>
      </c>
      <c r="O421" s="5">
        <f>DATE(Tabela1[[#This Row],[vigencia ano]],Tabela1[[#This Row],[vigencia mês]],Tabela1[[#This Row],[vigencia dia]])</f>
        <v>47890</v>
      </c>
    </row>
    <row r="422" spans="1:15" x14ac:dyDescent="0.25">
      <c r="A422" t="s">
        <v>41</v>
      </c>
      <c r="B422" t="s">
        <v>1748</v>
      </c>
      <c r="C422" s="1">
        <v>25284506000109</v>
      </c>
      <c r="D422" t="s">
        <v>1749</v>
      </c>
      <c r="E422" t="s">
        <v>1750</v>
      </c>
      <c r="F422" t="s">
        <v>7</v>
      </c>
      <c r="G422">
        <v>26550150</v>
      </c>
      <c r="H422" t="s">
        <v>1751</v>
      </c>
      <c r="I422" t="s">
        <v>1752</v>
      </c>
      <c r="J422" t="s">
        <v>56</v>
      </c>
      <c r="K422">
        <v>6</v>
      </c>
      <c r="L422">
        <v>26</v>
      </c>
      <c r="M422">
        <v>2016</v>
      </c>
      <c r="N422" t="s">
        <v>47</v>
      </c>
      <c r="O422" s="5">
        <f>DATE(Tabela1[[#This Row],[vigencia ano]],Tabela1[[#This Row],[vigencia mês]],Tabela1[[#This Row],[vigencia dia]])</f>
        <v>43137</v>
      </c>
    </row>
    <row r="423" spans="1:15" x14ac:dyDescent="0.25">
      <c r="A423" t="s">
        <v>41</v>
      </c>
      <c r="B423" t="s">
        <v>1753</v>
      </c>
      <c r="C423" s="1">
        <v>12117414000184</v>
      </c>
      <c r="D423" t="s">
        <v>1754</v>
      </c>
      <c r="E423" t="s">
        <v>1755</v>
      </c>
      <c r="F423" t="s">
        <v>7</v>
      </c>
      <c r="G423">
        <v>24110814</v>
      </c>
      <c r="H423" t="s">
        <v>1756</v>
      </c>
      <c r="I423" t="s">
        <v>1757</v>
      </c>
      <c r="J423" t="s">
        <v>56</v>
      </c>
      <c r="K423">
        <v>5</v>
      </c>
      <c r="L423">
        <v>18</v>
      </c>
      <c r="M423">
        <v>2032</v>
      </c>
      <c r="N423" t="s">
        <v>47</v>
      </c>
      <c r="O423" s="5">
        <f>DATE(Tabela1[[#This Row],[vigencia ano]],Tabela1[[#This Row],[vigencia mês]],Tabela1[[#This Row],[vigencia dia]])</f>
        <v>48735</v>
      </c>
    </row>
    <row r="424" spans="1:15" x14ac:dyDescent="0.25">
      <c r="A424" t="s">
        <v>41</v>
      </c>
      <c r="B424" t="s">
        <v>1758</v>
      </c>
      <c r="C424" s="1">
        <v>1512675000182</v>
      </c>
      <c r="D424" t="s">
        <v>1759</v>
      </c>
      <c r="E424" t="s">
        <v>1760</v>
      </c>
      <c r="F424" t="s">
        <v>7</v>
      </c>
      <c r="G424">
        <v>26010340</v>
      </c>
      <c r="H424" t="s">
        <v>1761</v>
      </c>
      <c r="I424" t="s">
        <v>1762</v>
      </c>
      <c r="J424" t="s">
        <v>56</v>
      </c>
      <c r="K424">
        <v>2</v>
      </c>
      <c r="L424">
        <v>23</v>
      </c>
      <c r="M424">
        <v>2017</v>
      </c>
      <c r="N424" t="s">
        <v>47</v>
      </c>
      <c r="O424" s="5">
        <f>DATE(Tabela1[[#This Row],[vigencia ano]],Tabela1[[#This Row],[vigencia mês]],Tabela1[[#This Row],[vigencia dia]])</f>
        <v>43406</v>
      </c>
    </row>
    <row r="425" spans="1:15" x14ac:dyDescent="0.25">
      <c r="A425" t="s">
        <v>41</v>
      </c>
      <c r="B425" t="s">
        <v>1763</v>
      </c>
      <c r="C425" s="1">
        <v>30840927000109</v>
      </c>
      <c r="D425" t="s">
        <v>1764</v>
      </c>
      <c r="E425" t="s">
        <v>1765</v>
      </c>
      <c r="F425" t="s">
        <v>7</v>
      </c>
      <c r="G425">
        <v>22753210</v>
      </c>
      <c r="H425" t="s">
        <v>1766</v>
      </c>
      <c r="I425" t="s">
        <v>1767</v>
      </c>
      <c r="J425" t="s">
        <v>56</v>
      </c>
      <c r="K425">
        <v>9</v>
      </c>
      <c r="L425">
        <v>25</v>
      </c>
      <c r="M425">
        <v>2033</v>
      </c>
      <c r="N425" t="s">
        <v>47</v>
      </c>
      <c r="O425" s="5">
        <f>DATE(Tabela1[[#This Row],[vigencia ano]],Tabela1[[#This Row],[vigencia mês]],Tabela1[[#This Row],[vigencia dia]])</f>
        <v>49318</v>
      </c>
    </row>
    <row r="426" spans="1:15" x14ac:dyDescent="0.25">
      <c r="A426" t="s">
        <v>41</v>
      </c>
      <c r="B426" t="s">
        <v>1768</v>
      </c>
      <c r="C426" s="1">
        <v>27113589000190</v>
      </c>
      <c r="D426" t="s">
        <v>1769</v>
      </c>
      <c r="E426" t="s">
        <v>1765</v>
      </c>
      <c r="F426" t="s">
        <v>7</v>
      </c>
      <c r="G426">
        <v>21535030</v>
      </c>
      <c r="H426" t="s">
        <v>1770</v>
      </c>
      <c r="I426" t="s">
        <v>1771</v>
      </c>
      <c r="J426" t="s">
        <v>56</v>
      </c>
      <c r="K426">
        <v>2</v>
      </c>
      <c r="L426">
        <v>5</v>
      </c>
      <c r="M426">
        <v>2034</v>
      </c>
      <c r="N426" t="s">
        <v>47</v>
      </c>
      <c r="O426" s="5">
        <f>DATE(Tabela1[[#This Row],[vigencia ano]],Tabela1[[#This Row],[vigencia mês]],Tabela1[[#This Row],[vigencia dia]])</f>
        <v>49066</v>
      </c>
    </row>
    <row r="427" spans="1:15" x14ac:dyDescent="0.25">
      <c r="A427" t="s">
        <v>41</v>
      </c>
      <c r="B427" t="s">
        <v>1772</v>
      </c>
      <c r="C427" s="1">
        <v>3686915000190</v>
      </c>
      <c r="D427" t="s">
        <v>1773</v>
      </c>
      <c r="E427" t="s">
        <v>1765</v>
      </c>
      <c r="F427" t="s">
        <v>7</v>
      </c>
      <c r="G427">
        <v>21020160</v>
      </c>
      <c r="H427" t="s">
        <v>1774</v>
      </c>
      <c r="I427" t="s">
        <v>1775</v>
      </c>
      <c r="J427" t="s">
        <v>56</v>
      </c>
      <c r="K427">
        <v>6</v>
      </c>
      <c r="L427">
        <v>12</v>
      </c>
      <c r="M427">
        <v>2029</v>
      </c>
      <c r="N427" t="s">
        <v>47</v>
      </c>
      <c r="O427" s="5">
        <f>DATE(Tabela1[[#This Row],[vigencia ano]],Tabela1[[#This Row],[vigencia mês]],Tabela1[[#This Row],[vigencia dia]])</f>
        <v>47458</v>
      </c>
    </row>
    <row r="428" spans="1:15" x14ac:dyDescent="0.25">
      <c r="A428" t="s">
        <v>41</v>
      </c>
      <c r="B428" t="s">
        <v>1776</v>
      </c>
      <c r="C428" s="1">
        <v>31864044000193</v>
      </c>
      <c r="D428" t="s">
        <v>1777</v>
      </c>
      <c r="E428" t="s">
        <v>1765</v>
      </c>
      <c r="F428" t="s">
        <v>7</v>
      </c>
      <c r="G428">
        <v>21051510</v>
      </c>
      <c r="H428" t="s">
        <v>1778</v>
      </c>
      <c r="I428" t="s">
        <v>1779</v>
      </c>
      <c r="J428" t="s">
        <v>56</v>
      </c>
      <c r="K428">
        <v>6</v>
      </c>
      <c r="L428">
        <v>24</v>
      </c>
      <c r="M428">
        <v>2031</v>
      </c>
      <c r="N428" t="s">
        <v>47</v>
      </c>
      <c r="O428" s="5">
        <f>DATE(Tabela1[[#This Row],[vigencia ano]],Tabela1[[#This Row],[vigencia mês]],Tabela1[[#This Row],[vigencia dia]])</f>
        <v>48554</v>
      </c>
    </row>
    <row r="429" spans="1:15" x14ac:dyDescent="0.25">
      <c r="A429" t="s">
        <v>41</v>
      </c>
      <c r="B429" t="s">
        <v>1780</v>
      </c>
      <c r="C429" s="1">
        <v>33489352000101</v>
      </c>
      <c r="D429" t="s">
        <v>1781</v>
      </c>
      <c r="E429" t="s">
        <v>1765</v>
      </c>
      <c r="F429" t="s">
        <v>7</v>
      </c>
      <c r="G429">
        <v>21012351</v>
      </c>
      <c r="H429" t="s">
        <v>1782</v>
      </c>
      <c r="I429" t="s">
        <v>1783</v>
      </c>
      <c r="J429" t="s">
        <v>56</v>
      </c>
      <c r="K429">
        <v>6</v>
      </c>
      <c r="L429">
        <v>6</v>
      </c>
      <c r="M429">
        <v>2026</v>
      </c>
      <c r="N429" t="s">
        <v>47</v>
      </c>
      <c r="O429" s="5">
        <f>DATE(Tabela1[[#This Row],[vigencia ano]],Tabela1[[#This Row],[vigencia mês]],Tabela1[[#This Row],[vigencia dia]])</f>
        <v>46179</v>
      </c>
    </row>
    <row r="430" spans="1:15" x14ac:dyDescent="0.25">
      <c r="A430" t="s">
        <v>41</v>
      </c>
      <c r="B430" t="s">
        <v>1784</v>
      </c>
      <c r="C430" s="1">
        <v>5753265000184</v>
      </c>
      <c r="D430" t="s">
        <v>1785</v>
      </c>
      <c r="E430" t="s">
        <v>1765</v>
      </c>
      <c r="F430" t="s">
        <v>7</v>
      </c>
      <c r="G430">
        <v>20030060</v>
      </c>
      <c r="H430" t="s">
        <v>1786</v>
      </c>
      <c r="I430" t="s">
        <v>1787</v>
      </c>
      <c r="J430" t="s">
        <v>56</v>
      </c>
      <c r="K430">
        <v>10</v>
      </c>
      <c r="L430">
        <v>17</v>
      </c>
      <c r="M430">
        <v>2023</v>
      </c>
      <c r="N430" t="s">
        <v>47</v>
      </c>
      <c r="O430" s="5">
        <f>DATE(Tabela1[[#This Row],[vigencia ano]],Tabela1[[#This Row],[vigencia mês]],Tabela1[[#This Row],[vigencia dia]])</f>
        <v>45422</v>
      </c>
    </row>
    <row r="431" spans="1:15" x14ac:dyDescent="0.25">
      <c r="A431" t="s">
        <v>41</v>
      </c>
      <c r="B431" t="s">
        <v>1788</v>
      </c>
      <c r="C431" s="1">
        <v>7575651000159</v>
      </c>
      <c r="D431" t="s">
        <v>1789</v>
      </c>
      <c r="E431" t="s">
        <v>1765</v>
      </c>
      <c r="F431" t="s">
        <v>7</v>
      </c>
      <c r="G431">
        <v>20021340</v>
      </c>
      <c r="H431" t="s">
        <v>1790</v>
      </c>
      <c r="I431" t="s">
        <v>1791</v>
      </c>
      <c r="J431" t="s">
        <v>56</v>
      </c>
      <c r="K431">
        <v>4</v>
      </c>
      <c r="L431">
        <v>17</v>
      </c>
      <c r="M431">
        <v>2030</v>
      </c>
      <c r="N431" t="s">
        <v>47</v>
      </c>
      <c r="O431" s="5">
        <f>DATE(Tabela1[[#This Row],[vigencia ano]],Tabela1[[#This Row],[vigencia mês]],Tabela1[[#This Row],[vigencia dia]])</f>
        <v>47972</v>
      </c>
    </row>
    <row r="432" spans="1:15" x14ac:dyDescent="0.25">
      <c r="A432" t="s">
        <v>41</v>
      </c>
      <c r="B432" t="s">
        <v>1792</v>
      </c>
      <c r="C432" s="1">
        <v>3094658000106</v>
      </c>
      <c r="D432" t="s">
        <v>1793</v>
      </c>
      <c r="E432" t="s">
        <v>1765</v>
      </c>
      <c r="F432" t="s">
        <v>7</v>
      </c>
      <c r="G432">
        <v>20010010</v>
      </c>
      <c r="H432" t="s">
        <v>1794</v>
      </c>
      <c r="I432" t="s">
        <v>1795</v>
      </c>
      <c r="J432" t="s">
        <v>56</v>
      </c>
      <c r="K432">
        <v>7</v>
      </c>
      <c r="L432">
        <v>24</v>
      </c>
      <c r="M432">
        <v>2028</v>
      </c>
      <c r="N432" t="s">
        <v>47</v>
      </c>
      <c r="O432" s="5">
        <f>DATE(Tabela1[[#This Row],[vigencia ano]],Tabela1[[#This Row],[vigencia mês]],Tabela1[[#This Row],[vigencia dia]])</f>
        <v>47459</v>
      </c>
    </row>
    <row r="433" spans="1:15" x14ac:dyDescent="0.25">
      <c r="A433" t="s">
        <v>41</v>
      </c>
      <c r="B433" t="s">
        <v>1796</v>
      </c>
      <c r="C433" s="1">
        <v>12064608000169</v>
      </c>
      <c r="D433" t="s">
        <v>1797</v>
      </c>
      <c r="E433" t="s">
        <v>1765</v>
      </c>
      <c r="F433" t="s">
        <v>7</v>
      </c>
      <c r="G433">
        <v>20090003</v>
      </c>
      <c r="H433" t="s">
        <v>1798</v>
      </c>
      <c r="I433" t="s">
        <v>1799</v>
      </c>
      <c r="J433" t="s">
        <v>56</v>
      </c>
      <c r="K433">
        <v>9</v>
      </c>
      <c r="L433">
        <v>18</v>
      </c>
      <c r="M433">
        <v>2030</v>
      </c>
      <c r="N433" t="s">
        <v>47</v>
      </c>
      <c r="O433" s="5">
        <f>DATE(Tabela1[[#This Row],[vigencia ano]],Tabela1[[#This Row],[vigencia mês]],Tabela1[[#This Row],[vigencia dia]])</f>
        <v>48008</v>
      </c>
    </row>
    <row r="434" spans="1:15" x14ac:dyDescent="0.25">
      <c r="A434" t="s">
        <v>41</v>
      </c>
      <c r="B434" t="s">
        <v>1800</v>
      </c>
      <c r="C434" s="1">
        <v>30870323000105</v>
      </c>
      <c r="D434" t="s">
        <v>1801</v>
      </c>
      <c r="E434" t="s">
        <v>1765</v>
      </c>
      <c r="F434" t="s">
        <v>7</v>
      </c>
      <c r="G434">
        <v>21011620</v>
      </c>
      <c r="H434" t="s">
        <v>1802</v>
      </c>
      <c r="I434" t="s">
        <v>1803</v>
      </c>
      <c r="J434" t="s">
        <v>56</v>
      </c>
      <c r="K434">
        <v>9</v>
      </c>
      <c r="L434">
        <v>27</v>
      </c>
      <c r="M434">
        <v>2015</v>
      </c>
      <c r="N434" t="s">
        <v>47</v>
      </c>
      <c r="O434" s="5">
        <f>DATE(Tabela1[[#This Row],[vigencia ano]],Tabela1[[#This Row],[vigencia mês]],Tabela1[[#This Row],[vigencia dia]])</f>
        <v>42803</v>
      </c>
    </row>
    <row r="435" spans="1:15" x14ac:dyDescent="0.25">
      <c r="A435" t="s">
        <v>41</v>
      </c>
      <c r="B435" t="s">
        <v>1804</v>
      </c>
      <c r="C435" s="1">
        <v>5119453000155</v>
      </c>
      <c r="D435" t="s">
        <v>1805</v>
      </c>
      <c r="E435" t="s">
        <v>1765</v>
      </c>
      <c r="F435" t="s">
        <v>7</v>
      </c>
      <c r="G435">
        <v>20091007</v>
      </c>
      <c r="H435" t="s">
        <v>1806</v>
      </c>
      <c r="I435" t="s">
        <v>1807</v>
      </c>
      <c r="J435" t="s">
        <v>46</v>
      </c>
      <c r="K435">
        <v>11</v>
      </c>
      <c r="L435">
        <v>8</v>
      </c>
      <c r="M435">
        <v>2029</v>
      </c>
      <c r="N435" t="s">
        <v>47</v>
      </c>
      <c r="O435" s="5">
        <f>DATE(Tabela1[[#This Row],[vigencia ano]],Tabela1[[#This Row],[vigencia mês]],Tabela1[[#This Row],[vigencia dia]])</f>
        <v>47341</v>
      </c>
    </row>
    <row r="436" spans="1:15" x14ac:dyDescent="0.25">
      <c r="A436" t="s">
        <v>41</v>
      </c>
      <c r="B436" t="s">
        <v>1808</v>
      </c>
      <c r="C436" s="1">
        <v>14311121000169</v>
      </c>
      <c r="D436" t="s">
        <v>1809</v>
      </c>
      <c r="E436" t="s">
        <v>1765</v>
      </c>
      <c r="F436" t="s">
        <v>7</v>
      </c>
      <c r="G436">
        <v>20975005</v>
      </c>
      <c r="H436" t="s">
        <v>1810</v>
      </c>
      <c r="I436" t="s">
        <v>1811</v>
      </c>
      <c r="J436" t="s">
        <v>56</v>
      </c>
      <c r="K436">
        <v>4</v>
      </c>
      <c r="L436">
        <v>8</v>
      </c>
      <c r="M436">
        <v>2034</v>
      </c>
      <c r="N436" t="s">
        <v>47</v>
      </c>
      <c r="O436" s="5">
        <f>DATE(Tabela1[[#This Row],[vigencia ano]],Tabela1[[#This Row],[vigencia mês]],Tabela1[[#This Row],[vigencia dia]])</f>
        <v>49160</v>
      </c>
    </row>
    <row r="437" spans="1:15" x14ac:dyDescent="0.25">
      <c r="A437" t="s">
        <v>41</v>
      </c>
      <c r="B437" t="s">
        <v>1812</v>
      </c>
      <c r="C437" s="1">
        <v>43145945000104</v>
      </c>
      <c r="D437" t="s">
        <v>1813</v>
      </c>
      <c r="E437" t="s">
        <v>1765</v>
      </c>
      <c r="F437" t="s">
        <v>7</v>
      </c>
      <c r="G437">
        <v>20090010</v>
      </c>
      <c r="H437" t="s">
        <v>1814</v>
      </c>
      <c r="I437" t="s">
        <v>1815</v>
      </c>
      <c r="J437" t="s">
        <v>46</v>
      </c>
      <c r="K437">
        <v>6</v>
      </c>
      <c r="L437">
        <v>22</v>
      </c>
      <c r="M437">
        <v>2015</v>
      </c>
      <c r="N437" t="s">
        <v>47</v>
      </c>
      <c r="O437" s="5">
        <f>DATE(Tabela1[[#This Row],[vigencia ano]],Tabela1[[#This Row],[vigencia mês]],Tabela1[[#This Row],[vigencia dia]])</f>
        <v>42649</v>
      </c>
    </row>
    <row r="438" spans="1:15" x14ac:dyDescent="0.25">
      <c r="A438" t="s">
        <v>41</v>
      </c>
      <c r="B438" t="s">
        <v>1816</v>
      </c>
      <c r="C438" s="1">
        <v>5303255000147</v>
      </c>
      <c r="D438" t="s">
        <v>1817</v>
      </c>
      <c r="E438" t="s">
        <v>1765</v>
      </c>
      <c r="F438" t="s">
        <v>7</v>
      </c>
      <c r="G438">
        <v>20071000</v>
      </c>
      <c r="H438" t="s">
        <v>1818</v>
      </c>
      <c r="I438" t="s">
        <v>1819</v>
      </c>
      <c r="J438" t="s">
        <v>56</v>
      </c>
      <c r="K438">
        <v>8</v>
      </c>
      <c r="L438">
        <v>31</v>
      </c>
      <c r="M438">
        <v>2022</v>
      </c>
      <c r="N438" t="s">
        <v>47</v>
      </c>
      <c r="O438" s="5">
        <f>DATE(Tabela1[[#This Row],[vigencia ano]],Tabela1[[#This Row],[vigencia mês]],Tabela1[[#This Row],[vigencia dia]])</f>
        <v>45481</v>
      </c>
    </row>
    <row r="439" spans="1:15" x14ac:dyDescent="0.25">
      <c r="A439" t="s">
        <v>41</v>
      </c>
      <c r="B439" t="s">
        <v>1820</v>
      </c>
      <c r="C439" s="1">
        <v>39893623000176</v>
      </c>
      <c r="D439" t="s">
        <v>1821</v>
      </c>
      <c r="E439" t="s">
        <v>1765</v>
      </c>
      <c r="F439" t="s">
        <v>7</v>
      </c>
      <c r="G439">
        <v>23520395</v>
      </c>
      <c r="H439" t="s">
        <v>1822</v>
      </c>
      <c r="I439" t="s">
        <v>1823</v>
      </c>
      <c r="J439" t="s">
        <v>46</v>
      </c>
      <c r="K439">
        <v>2</v>
      </c>
      <c r="L439">
        <v>11</v>
      </c>
      <c r="M439">
        <v>2030</v>
      </c>
      <c r="N439" t="s">
        <v>47</v>
      </c>
      <c r="O439" s="5">
        <f>DATE(Tabela1[[#This Row],[vigencia ano]],Tabela1[[#This Row],[vigencia mês]],Tabela1[[#This Row],[vigencia dia]])</f>
        <v>47789</v>
      </c>
    </row>
    <row r="440" spans="1:15" x14ac:dyDescent="0.25">
      <c r="A440" t="s">
        <v>41</v>
      </c>
      <c r="B440" t="s">
        <v>1824</v>
      </c>
      <c r="C440" s="1">
        <v>7336935000192</v>
      </c>
      <c r="D440" t="s">
        <v>1825</v>
      </c>
      <c r="E440" t="s">
        <v>1765</v>
      </c>
      <c r="F440" t="s">
        <v>7</v>
      </c>
      <c r="G440">
        <v>20091007</v>
      </c>
      <c r="H440" t="s">
        <v>1826</v>
      </c>
      <c r="I440" t="s">
        <v>1827</v>
      </c>
      <c r="J440" t="s">
        <v>56</v>
      </c>
      <c r="K440">
        <v>10</v>
      </c>
      <c r="L440">
        <v>25</v>
      </c>
      <c r="M440">
        <v>2015</v>
      </c>
      <c r="N440" t="s">
        <v>47</v>
      </c>
      <c r="O440" s="5">
        <f>DATE(Tabela1[[#This Row],[vigencia ano]],Tabela1[[#This Row],[vigencia mês]],Tabela1[[#This Row],[vigencia dia]])</f>
        <v>42745</v>
      </c>
    </row>
    <row r="441" spans="1:15" x14ac:dyDescent="0.25">
      <c r="A441" t="s">
        <v>41</v>
      </c>
      <c r="B441" t="s">
        <v>1828</v>
      </c>
      <c r="C441" s="1">
        <v>4210356000100</v>
      </c>
      <c r="D441" t="s">
        <v>1829</v>
      </c>
      <c r="E441" t="s">
        <v>1765</v>
      </c>
      <c r="F441" t="s">
        <v>7</v>
      </c>
      <c r="G441">
        <v>22631470</v>
      </c>
      <c r="H441" t="s">
        <v>1830</v>
      </c>
      <c r="I441" t="s">
        <v>1831</v>
      </c>
      <c r="J441" t="s">
        <v>46</v>
      </c>
      <c r="K441">
        <v>12</v>
      </c>
      <c r="L441">
        <v>20</v>
      </c>
      <c r="M441">
        <v>2029</v>
      </c>
      <c r="N441" t="s">
        <v>47</v>
      </c>
      <c r="O441" s="5">
        <f>DATE(Tabela1[[#This Row],[vigencia ano]],Tabela1[[#This Row],[vigencia mês]],Tabela1[[#This Row],[vigencia dia]])</f>
        <v>47707</v>
      </c>
    </row>
    <row r="442" spans="1:15" x14ac:dyDescent="0.25">
      <c r="A442" t="s">
        <v>41</v>
      </c>
      <c r="B442" t="s">
        <v>1832</v>
      </c>
      <c r="C442" s="1">
        <v>7047740000122</v>
      </c>
      <c r="D442" t="s">
        <v>1833</v>
      </c>
      <c r="E442" t="s">
        <v>1765</v>
      </c>
      <c r="F442" t="s">
        <v>7</v>
      </c>
      <c r="G442">
        <v>20091007</v>
      </c>
      <c r="H442" t="s">
        <v>1834</v>
      </c>
      <c r="I442" t="s">
        <v>1835</v>
      </c>
      <c r="J442" t="s">
        <v>56</v>
      </c>
      <c r="K442">
        <v>8</v>
      </c>
      <c r="L442">
        <v>3</v>
      </c>
      <c r="M442">
        <v>2016</v>
      </c>
      <c r="N442" t="s">
        <v>47</v>
      </c>
      <c r="O442" s="5">
        <f>DATE(Tabela1[[#This Row],[vigencia ano]],Tabela1[[#This Row],[vigencia mês]],Tabela1[[#This Row],[vigencia dia]])</f>
        <v>42437</v>
      </c>
    </row>
    <row r="443" spans="1:15" x14ac:dyDescent="0.25">
      <c r="A443" t="s">
        <v>41</v>
      </c>
      <c r="B443" t="s">
        <v>1836</v>
      </c>
      <c r="C443" s="1">
        <v>780616000122</v>
      </c>
      <c r="D443" t="s">
        <v>1837</v>
      </c>
      <c r="E443" t="s">
        <v>1765</v>
      </c>
      <c r="F443" t="s">
        <v>7</v>
      </c>
      <c r="G443">
        <v>21941904</v>
      </c>
      <c r="H443" t="s">
        <v>1838</v>
      </c>
      <c r="I443" t="s">
        <v>1839</v>
      </c>
      <c r="J443" t="s">
        <v>56</v>
      </c>
      <c r="K443">
        <v>10</v>
      </c>
      <c r="L443">
        <v>20</v>
      </c>
      <c r="M443">
        <v>2025</v>
      </c>
      <c r="N443" t="s">
        <v>47</v>
      </c>
      <c r="O443" s="5">
        <f>DATE(Tabela1[[#This Row],[vigencia ano]],Tabela1[[#This Row],[vigencia mês]],Tabela1[[#This Row],[vigencia dia]])</f>
        <v>46244</v>
      </c>
    </row>
    <row r="444" spans="1:15" x14ac:dyDescent="0.25">
      <c r="A444" t="s">
        <v>41</v>
      </c>
      <c r="B444" t="s">
        <v>1840</v>
      </c>
      <c r="C444" s="1">
        <v>43998509000188</v>
      </c>
      <c r="D444" t="s">
        <v>1841</v>
      </c>
      <c r="E444" t="s">
        <v>1765</v>
      </c>
      <c r="F444" t="s">
        <v>7</v>
      </c>
      <c r="G444">
        <v>22621090</v>
      </c>
      <c r="H444" t="s">
        <v>1842</v>
      </c>
      <c r="I444" t="s">
        <v>1843</v>
      </c>
      <c r="J444" t="s">
        <v>56</v>
      </c>
      <c r="K444">
        <v>7</v>
      </c>
      <c r="L444">
        <v>18</v>
      </c>
      <c r="M444">
        <v>2022</v>
      </c>
      <c r="N444" t="s">
        <v>47</v>
      </c>
      <c r="O444" s="5">
        <f>DATE(Tabela1[[#This Row],[vigencia ano]],Tabela1[[#This Row],[vigencia mês]],Tabela1[[#This Row],[vigencia dia]])</f>
        <v>45084</v>
      </c>
    </row>
    <row r="445" spans="1:15" x14ac:dyDescent="0.25">
      <c r="A445" t="s">
        <v>41</v>
      </c>
      <c r="B445" t="s">
        <v>1844</v>
      </c>
      <c r="C445" s="1">
        <v>3113442000132</v>
      </c>
      <c r="D445" t="s">
        <v>1845</v>
      </c>
      <c r="E445" t="s">
        <v>1765</v>
      </c>
      <c r="F445" t="s">
        <v>7</v>
      </c>
      <c r="G445">
        <v>20220350</v>
      </c>
      <c r="H445" t="s">
        <v>1846</v>
      </c>
      <c r="I445" t="s">
        <v>1847</v>
      </c>
      <c r="J445" t="s">
        <v>56</v>
      </c>
      <c r="K445">
        <v>9</v>
      </c>
      <c r="L445">
        <v>17</v>
      </c>
      <c r="M445">
        <v>2023</v>
      </c>
      <c r="N445" t="s">
        <v>47</v>
      </c>
      <c r="O445" s="5">
        <f>DATE(Tabela1[[#This Row],[vigencia ano]],Tabela1[[#This Row],[vigencia mês]],Tabela1[[#This Row],[vigencia dia]])</f>
        <v>45421</v>
      </c>
    </row>
    <row r="446" spans="1:15" x14ac:dyDescent="0.25">
      <c r="A446" t="s">
        <v>41</v>
      </c>
      <c r="B446" t="s">
        <v>1848</v>
      </c>
      <c r="C446" s="1">
        <v>11567225000140</v>
      </c>
      <c r="D446" t="s">
        <v>1849</v>
      </c>
      <c r="E446" t="s">
        <v>1765</v>
      </c>
      <c r="F446" t="s">
        <v>7</v>
      </c>
      <c r="G446">
        <v>20011030</v>
      </c>
      <c r="H446" t="s">
        <v>1850</v>
      </c>
      <c r="I446" t="s">
        <v>1851</v>
      </c>
      <c r="J446" t="s">
        <v>56</v>
      </c>
      <c r="K446">
        <v>4</v>
      </c>
      <c r="L446">
        <v>11</v>
      </c>
      <c r="M446">
        <v>2028</v>
      </c>
      <c r="N446" t="s">
        <v>47</v>
      </c>
      <c r="O446" s="5">
        <f>DATE(Tabela1[[#This Row],[vigencia ano]],Tabela1[[#This Row],[vigencia mês]],Tabela1[[#This Row],[vigencia dia]])</f>
        <v>47061</v>
      </c>
    </row>
    <row r="447" spans="1:15" x14ac:dyDescent="0.25">
      <c r="A447" t="s">
        <v>41</v>
      </c>
      <c r="B447" t="s">
        <v>1852</v>
      </c>
      <c r="C447" s="1">
        <v>4193936000137</v>
      </c>
      <c r="D447" t="s">
        <v>1853</v>
      </c>
      <c r="E447" t="s">
        <v>1765</v>
      </c>
      <c r="F447" t="s">
        <v>7</v>
      </c>
      <c r="G447">
        <v>22640102</v>
      </c>
      <c r="H447" t="s">
        <v>1854</v>
      </c>
      <c r="I447" t="s">
        <v>1855</v>
      </c>
      <c r="J447" t="s">
        <v>56</v>
      </c>
      <c r="K447">
        <v>9</v>
      </c>
      <c r="L447">
        <v>8</v>
      </c>
      <c r="M447">
        <v>2025</v>
      </c>
      <c r="N447" t="s">
        <v>47</v>
      </c>
      <c r="O447" s="5">
        <f>DATE(Tabela1[[#This Row],[vigencia ano]],Tabela1[[#This Row],[vigencia mês]],Tabela1[[#This Row],[vigencia dia]])</f>
        <v>45878</v>
      </c>
    </row>
    <row r="448" spans="1:15" x14ac:dyDescent="0.25">
      <c r="A448" t="s">
        <v>41</v>
      </c>
      <c r="B448" t="s">
        <v>1856</v>
      </c>
      <c r="C448" s="1">
        <v>10803792000196</v>
      </c>
      <c r="D448" t="s">
        <v>1857</v>
      </c>
      <c r="E448" t="s">
        <v>1765</v>
      </c>
      <c r="F448" t="s">
        <v>7</v>
      </c>
      <c r="G448">
        <v>20081311</v>
      </c>
      <c r="H448" t="s">
        <v>1858</v>
      </c>
      <c r="I448" t="s">
        <v>1859</v>
      </c>
      <c r="J448" t="s">
        <v>56</v>
      </c>
      <c r="K448">
        <v>11</v>
      </c>
      <c r="L448">
        <v>1</v>
      </c>
      <c r="M448">
        <v>2033</v>
      </c>
      <c r="N448" t="s">
        <v>47</v>
      </c>
      <c r="O448" s="5">
        <f>DATE(Tabela1[[#This Row],[vigencia ano]],Tabela1[[#This Row],[vigencia mês]],Tabela1[[#This Row],[vigencia dia]])</f>
        <v>48590</v>
      </c>
    </row>
    <row r="449" spans="1:15" x14ac:dyDescent="0.25">
      <c r="A449" t="s">
        <v>41</v>
      </c>
      <c r="B449" t="s">
        <v>1860</v>
      </c>
      <c r="C449" s="1">
        <v>5679491000162</v>
      </c>
      <c r="D449" t="s">
        <v>1861</v>
      </c>
      <c r="E449" t="s">
        <v>1765</v>
      </c>
      <c r="F449" t="s">
        <v>7</v>
      </c>
      <c r="G449">
        <v>20090050</v>
      </c>
      <c r="H449" t="s">
        <v>1862</v>
      </c>
      <c r="I449" t="s">
        <v>1863</v>
      </c>
      <c r="J449" t="s">
        <v>56</v>
      </c>
      <c r="K449">
        <v>4</v>
      </c>
      <c r="L449">
        <v>24</v>
      </c>
      <c r="M449">
        <v>2017</v>
      </c>
      <c r="N449" t="s">
        <v>47</v>
      </c>
      <c r="O449" s="5">
        <f>DATE(Tabela1[[#This Row],[vigencia ano]],Tabela1[[#This Row],[vigencia mês]],Tabela1[[#This Row],[vigencia dia]])</f>
        <v>43438</v>
      </c>
    </row>
    <row r="450" spans="1:15" x14ac:dyDescent="0.25">
      <c r="A450" t="s">
        <v>41</v>
      </c>
      <c r="B450" t="s">
        <v>1864</v>
      </c>
      <c r="C450" s="1">
        <v>40411720000164</v>
      </c>
      <c r="D450" t="s">
        <v>1865</v>
      </c>
      <c r="E450" t="s">
        <v>1765</v>
      </c>
      <c r="F450" t="s">
        <v>7</v>
      </c>
      <c r="G450">
        <v>20090050</v>
      </c>
      <c r="H450" t="s">
        <v>1862</v>
      </c>
      <c r="I450" t="s">
        <v>1866</v>
      </c>
      <c r="J450" t="s">
        <v>56</v>
      </c>
      <c r="K450">
        <v>2</v>
      </c>
      <c r="L450">
        <v>23</v>
      </c>
      <c r="M450">
        <v>2017</v>
      </c>
      <c r="N450" t="s">
        <v>47</v>
      </c>
      <c r="O450" s="5">
        <f>DATE(Tabela1[[#This Row],[vigencia ano]],Tabela1[[#This Row],[vigencia mês]],Tabela1[[#This Row],[vigencia dia]])</f>
        <v>43406</v>
      </c>
    </row>
    <row r="451" spans="1:15" x14ac:dyDescent="0.25">
      <c r="A451" t="s">
        <v>41</v>
      </c>
      <c r="B451" t="s">
        <v>1867</v>
      </c>
      <c r="C451" s="1">
        <v>34352080000166</v>
      </c>
      <c r="D451" t="s">
        <v>1868</v>
      </c>
      <c r="E451" t="s">
        <v>1765</v>
      </c>
      <c r="F451" t="s">
        <v>7</v>
      </c>
      <c r="G451">
        <v>21012000</v>
      </c>
      <c r="H451" t="s">
        <v>1869</v>
      </c>
      <c r="I451" t="s">
        <v>1870</v>
      </c>
      <c r="J451" t="s">
        <v>56</v>
      </c>
      <c r="K451">
        <v>2</v>
      </c>
      <c r="L451">
        <v>16</v>
      </c>
      <c r="M451">
        <v>2033</v>
      </c>
      <c r="N451" t="s">
        <v>47</v>
      </c>
      <c r="O451" s="5">
        <f>DATE(Tabela1[[#This Row],[vigencia ano]],Tabela1[[#This Row],[vigencia mês]],Tabela1[[#This Row],[vigencia dia]])</f>
        <v>49036</v>
      </c>
    </row>
    <row r="452" spans="1:15" x14ac:dyDescent="0.25">
      <c r="A452" t="s">
        <v>41</v>
      </c>
      <c r="B452" t="s">
        <v>1871</v>
      </c>
      <c r="C452" s="1">
        <v>19142826000113</v>
      </c>
      <c r="D452" t="s">
        <v>1872</v>
      </c>
      <c r="E452" t="s">
        <v>1765</v>
      </c>
      <c r="F452" t="s">
        <v>7</v>
      </c>
      <c r="G452">
        <v>21370541</v>
      </c>
      <c r="H452" t="s">
        <v>1873</v>
      </c>
      <c r="I452" t="s">
        <v>1874</v>
      </c>
      <c r="J452" t="s">
        <v>56</v>
      </c>
      <c r="K452">
        <v>7</v>
      </c>
      <c r="L452">
        <v>10</v>
      </c>
      <c r="M452">
        <v>2028</v>
      </c>
      <c r="N452" t="s">
        <v>47</v>
      </c>
      <c r="O452" s="5">
        <f>DATE(Tabela1[[#This Row],[vigencia ano]],Tabela1[[#This Row],[vigencia mês]],Tabela1[[#This Row],[vigencia dia]])</f>
        <v>47033</v>
      </c>
    </row>
    <row r="453" spans="1:15" x14ac:dyDescent="0.25">
      <c r="A453" t="s">
        <v>41</v>
      </c>
      <c r="B453" t="s">
        <v>1875</v>
      </c>
      <c r="C453" s="1">
        <v>11079429000132</v>
      </c>
      <c r="D453" t="s">
        <v>1876</v>
      </c>
      <c r="E453" t="s">
        <v>1765</v>
      </c>
      <c r="F453" t="s">
        <v>7</v>
      </c>
      <c r="G453">
        <v>22730270</v>
      </c>
      <c r="H453" t="s">
        <v>1877</v>
      </c>
      <c r="I453" t="s">
        <v>1878</v>
      </c>
      <c r="J453" t="s">
        <v>56</v>
      </c>
      <c r="K453">
        <v>11</v>
      </c>
      <c r="L453">
        <v>20</v>
      </c>
      <c r="M453">
        <v>2030</v>
      </c>
      <c r="N453" t="s">
        <v>47</v>
      </c>
      <c r="O453" s="5">
        <f>DATE(Tabela1[[#This Row],[vigencia ano]],Tabela1[[#This Row],[vigencia mês]],Tabela1[[#This Row],[vigencia dia]])</f>
        <v>48071</v>
      </c>
    </row>
    <row r="454" spans="1:15" x14ac:dyDescent="0.25">
      <c r="A454" t="s">
        <v>41</v>
      </c>
      <c r="B454" t="s">
        <v>1879</v>
      </c>
      <c r="C454" s="1">
        <v>6185738000157</v>
      </c>
      <c r="D454" t="s">
        <v>1880</v>
      </c>
      <c r="E454" t="s">
        <v>1765</v>
      </c>
      <c r="F454" t="s">
        <v>7</v>
      </c>
      <c r="G454">
        <v>20091007</v>
      </c>
      <c r="H454" t="s">
        <v>1881</v>
      </c>
      <c r="I454" t="s">
        <v>1882</v>
      </c>
      <c r="J454" t="s">
        <v>56</v>
      </c>
      <c r="K454">
        <v>1</v>
      </c>
      <c r="L454">
        <v>21</v>
      </c>
      <c r="M454">
        <v>2029</v>
      </c>
      <c r="N454" t="s">
        <v>47</v>
      </c>
      <c r="O454" s="5">
        <f>DATE(Tabela1[[#This Row],[vigencia ano]],Tabela1[[#This Row],[vigencia mês]],Tabela1[[#This Row],[vigencia dia]])</f>
        <v>47727</v>
      </c>
    </row>
    <row r="455" spans="1:15" x14ac:dyDescent="0.25">
      <c r="A455" t="s">
        <v>41</v>
      </c>
      <c r="B455" t="s">
        <v>1883</v>
      </c>
      <c r="C455" s="1">
        <v>3645340000168</v>
      </c>
      <c r="D455" t="s">
        <v>1884</v>
      </c>
      <c r="E455" t="s">
        <v>1765</v>
      </c>
      <c r="F455" t="s">
        <v>7</v>
      </c>
      <c r="G455">
        <v>20090000</v>
      </c>
      <c r="H455" t="s">
        <v>1885</v>
      </c>
      <c r="I455" t="s">
        <v>1886</v>
      </c>
      <c r="J455" t="s">
        <v>56</v>
      </c>
      <c r="K455">
        <v>1</v>
      </c>
      <c r="L455">
        <v>12</v>
      </c>
      <c r="M455">
        <v>2031</v>
      </c>
      <c r="N455" t="s">
        <v>47</v>
      </c>
      <c r="O455" s="5">
        <f>DATE(Tabela1[[#This Row],[vigencia ano]],Tabela1[[#This Row],[vigencia mês]],Tabela1[[#This Row],[vigencia dia]])</f>
        <v>48183</v>
      </c>
    </row>
    <row r="456" spans="1:15" x14ac:dyDescent="0.25">
      <c r="A456" t="s">
        <v>41</v>
      </c>
      <c r="B456" t="s">
        <v>1887</v>
      </c>
      <c r="C456" s="1">
        <v>7244182000195</v>
      </c>
      <c r="D456" t="s">
        <v>1888</v>
      </c>
      <c r="E456" t="s">
        <v>1765</v>
      </c>
      <c r="F456" t="s">
        <v>7</v>
      </c>
      <c r="G456">
        <v>20091007</v>
      </c>
      <c r="H456" t="s">
        <v>1889</v>
      </c>
      <c r="I456" t="s">
        <v>1890</v>
      </c>
      <c r="J456" t="s">
        <v>56</v>
      </c>
      <c r="K456">
        <v>7</v>
      </c>
      <c r="L456">
        <v>16</v>
      </c>
      <c r="M456">
        <v>2034</v>
      </c>
      <c r="N456" t="s">
        <v>47</v>
      </c>
      <c r="O456" s="5">
        <f>DATE(Tabela1[[#This Row],[vigencia ano]],Tabela1[[#This Row],[vigencia mês]],Tabela1[[#This Row],[vigencia dia]])</f>
        <v>49406</v>
      </c>
    </row>
    <row r="457" spans="1:15" x14ac:dyDescent="0.25">
      <c r="A457" t="s">
        <v>41</v>
      </c>
      <c r="B457" t="s">
        <v>1891</v>
      </c>
      <c r="C457" s="1">
        <v>33127002000103</v>
      </c>
      <c r="D457" t="s">
        <v>1892</v>
      </c>
      <c r="E457" t="s">
        <v>1765</v>
      </c>
      <c r="F457" t="s">
        <v>7</v>
      </c>
      <c r="G457">
        <v>20030905</v>
      </c>
      <c r="H457" t="s">
        <v>1893</v>
      </c>
      <c r="I457" t="s">
        <v>1894</v>
      </c>
      <c r="J457" t="s">
        <v>46</v>
      </c>
      <c r="K457">
        <v>8</v>
      </c>
      <c r="L457">
        <v>23</v>
      </c>
      <c r="M457">
        <v>2029</v>
      </c>
      <c r="N457" t="s">
        <v>47</v>
      </c>
      <c r="O457" s="5">
        <f>DATE(Tabela1[[#This Row],[vigencia ano]],Tabela1[[#This Row],[vigencia mês]],Tabela1[[#This Row],[vigencia dia]])</f>
        <v>47795</v>
      </c>
    </row>
    <row r="458" spans="1:15" x14ac:dyDescent="0.25">
      <c r="A458" t="s">
        <v>41</v>
      </c>
      <c r="B458" t="s">
        <v>1895</v>
      </c>
      <c r="C458" s="1">
        <v>33592510000154</v>
      </c>
      <c r="D458" t="s">
        <v>1896</v>
      </c>
      <c r="E458" t="s">
        <v>1765</v>
      </c>
      <c r="F458" t="s">
        <v>7</v>
      </c>
      <c r="G458">
        <v>20030900</v>
      </c>
      <c r="H458" t="s">
        <v>1897</v>
      </c>
      <c r="I458" t="s">
        <v>1898</v>
      </c>
      <c r="J458" t="s">
        <v>56</v>
      </c>
      <c r="K458">
        <v>2</v>
      </c>
      <c r="L458">
        <v>2</v>
      </c>
      <c r="M458">
        <v>2015</v>
      </c>
      <c r="N458" t="s">
        <v>47</v>
      </c>
      <c r="O458" s="5">
        <f>DATE(Tabela1[[#This Row],[vigencia ano]],Tabela1[[#This Row],[vigencia mês]],Tabela1[[#This Row],[vigencia dia]])</f>
        <v>42037</v>
      </c>
    </row>
    <row r="459" spans="1:15" x14ac:dyDescent="0.25">
      <c r="A459" t="s">
        <v>41</v>
      </c>
      <c r="B459" t="s">
        <v>1899</v>
      </c>
      <c r="C459" s="1">
        <v>4095454000144</v>
      </c>
      <c r="D459" t="s">
        <v>1900</v>
      </c>
      <c r="E459" t="s">
        <v>1765</v>
      </c>
      <c r="F459" t="s">
        <v>7</v>
      </c>
      <c r="G459">
        <v>20080070</v>
      </c>
      <c r="H459" t="s">
        <v>1901</v>
      </c>
      <c r="I459" t="s">
        <v>1902</v>
      </c>
      <c r="J459" t="s">
        <v>56</v>
      </c>
      <c r="K459">
        <v>11</v>
      </c>
      <c r="L459">
        <v>19</v>
      </c>
      <c r="M459">
        <v>2018</v>
      </c>
      <c r="N459" t="s">
        <v>47</v>
      </c>
      <c r="O459" s="5">
        <f>DATE(Tabela1[[#This Row],[vigencia ano]],Tabela1[[#This Row],[vigencia mês]],Tabela1[[#This Row],[vigencia dia]])</f>
        <v>43657</v>
      </c>
    </row>
    <row r="460" spans="1:15" x14ac:dyDescent="0.25">
      <c r="A460" t="s">
        <v>41</v>
      </c>
      <c r="B460" t="s">
        <v>1903</v>
      </c>
      <c r="C460" s="1">
        <v>73670044000100</v>
      </c>
      <c r="D460" t="s">
        <v>1904</v>
      </c>
      <c r="E460" t="s">
        <v>1765</v>
      </c>
      <c r="F460" t="s">
        <v>7</v>
      </c>
      <c r="G460">
        <v>21040113</v>
      </c>
      <c r="H460" t="s">
        <v>1905</v>
      </c>
      <c r="I460" t="s">
        <v>1906</v>
      </c>
      <c r="J460" t="s">
        <v>46</v>
      </c>
      <c r="K460">
        <v>1</v>
      </c>
      <c r="L460">
        <v>29</v>
      </c>
      <c r="M460">
        <v>2018</v>
      </c>
      <c r="N460" t="s">
        <v>47</v>
      </c>
      <c r="O460" s="5">
        <f>DATE(Tabela1[[#This Row],[vigencia ano]],Tabela1[[#This Row],[vigencia mês]],Tabela1[[#This Row],[vigencia dia]])</f>
        <v>43952</v>
      </c>
    </row>
    <row r="461" spans="1:15" x14ac:dyDescent="0.25">
      <c r="A461" t="s">
        <v>41</v>
      </c>
      <c r="B461" t="s">
        <v>1907</v>
      </c>
      <c r="C461" s="1">
        <v>29548732000100</v>
      </c>
      <c r="D461" t="s">
        <v>1908</v>
      </c>
      <c r="E461" t="s">
        <v>1765</v>
      </c>
      <c r="F461" t="s">
        <v>7</v>
      </c>
      <c r="G461">
        <v>20080004</v>
      </c>
      <c r="H461" t="s">
        <v>1909</v>
      </c>
      <c r="I461" t="s">
        <v>1910</v>
      </c>
      <c r="J461" t="s">
        <v>56</v>
      </c>
      <c r="K461">
        <v>3</v>
      </c>
      <c r="L461">
        <v>28</v>
      </c>
      <c r="M461">
        <v>2026</v>
      </c>
      <c r="N461" t="s">
        <v>47</v>
      </c>
      <c r="O461" s="5">
        <f>DATE(Tabela1[[#This Row],[vigencia ano]],Tabela1[[#This Row],[vigencia mês]],Tabela1[[#This Row],[vigencia dia]])</f>
        <v>46846</v>
      </c>
    </row>
    <row r="462" spans="1:15" x14ac:dyDescent="0.25">
      <c r="A462" t="s">
        <v>41</v>
      </c>
      <c r="B462" t="s">
        <v>1911</v>
      </c>
      <c r="C462" s="1">
        <v>2567192000148</v>
      </c>
      <c r="D462" t="s">
        <v>1908</v>
      </c>
      <c r="E462" t="s">
        <v>1765</v>
      </c>
      <c r="F462" t="s">
        <v>7</v>
      </c>
      <c r="G462">
        <v>20080004</v>
      </c>
      <c r="H462" t="s">
        <v>1909</v>
      </c>
      <c r="I462" t="s">
        <v>1912</v>
      </c>
      <c r="J462" t="s">
        <v>56</v>
      </c>
      <c r="K462">
        <v>3</v>
      </c>
      <c r="L462">
        <v>28</v>
      </c>
      <c r="M462">
        <v>2026</v>
      </c>
      <c r="N462" t="s">
        <v>47</v>
      </c>
      <c r="O462" s="5">
        <f>DATE(Tabela1[[#This Row],[vigencia ano]],Tabela1[[#This Row],[vigencia mês]],Tabela1[[#This Row],[vigencia dia]])</f>
        <v>46846</v>
      </c>
    </row>
    <row r="463" spans="1:15" x14ac:dyDescent="0.25">
      <c r="A463" t="s">
        <v>41</v>
      </c>
      <c r="B463" t="s">
        <v>1913</v>
      </c>
      <c r="C463" s="1">
        <v>4393356000193</v>
      </c>
      <c r="D463" t="s">
        <v>1914</v>
      </c>
      <c r="E463" t="s">
        <v>1765</v>
      </c>
      <c r="F463" t="s">
        <v>7</v>
      </c>
      <c r="G463">
        <v>20090001</v>
      </c>
      <c r="H463" t="s">
        <v>1915</v>
      </c>
      <c r="I463" t="s">
        <v>1916</v>
      </c>
      <c r="J463" t="s">
        <v>56</v>
      </c>
      <c r="K463">
        <v>8</v>
      </c>
      <c r="L463">
        <v>1</v>
      </c>
      <c r="M463">
        <v>2028</v>
      </c>
      <c r="N463" t="s">
        <v>47</v>
      </c>
      <c r="O463" s="5">
        <f>DATE(Tabela1[[#This Row],[vigencia ano]],Tabela1[[#This Row],[vigencia mês]],Tabela1[[#This Row],[vigencia dia]])</f>
        <v>46760</v>
      </c>
    </row>
    <row r="464" spans="1:15" x14ac:dyDescent="0.25">
      <c r="A464" t="s">
        <v>41</v>
      </c>
      <c r="B464" t="s">
        <v>1917</v>
      </c>
      <c r="C464" s="1">
        <v>7381971000178</v>
      </c>
      <c r="D464" t="s">
        <v>1918</v>
      </c>
      <c r="E464" t="s">
        <v>1765</v>
      </c>
      <c r="F464" t="s">
        <v>7</v>
      </c>
      <c r="G464">
        <v>20091007</v>
      </c>
      <c r="H464" t="s">
        <v>1919</v>
      </c>
      <c r="I464" t="s">
        <v>1920</v>
      </c>
      <c r="J464" t="s">
        <v>56</v>
      </c>
      <c r="K464">
        <v>10</v>
      </c>
      <c r="L464">
        <v>3</v>
      </c>
      <c r="M464">
        <v>2027</v>
      </c>
      <c r="N464" t="s">
        <v>47</v>
      </c>
      <c r="O464" s="5">
        <f>DATE(Tabela1[[#This Row],[vigencia ano]],Tabela1[[#This Row],[vigencia mês]],Tabela1[[#This Row],[vigencia dia]])</f>
        <v>46456</v>
      </c>
    </row>
    <row r="465" spans="1:15" x14ac:dyDescent="0.25">
      <c r="A465" t="s">
        <v>41</v>
      </c>
      <c r="B465" t="s">
        <v>1921</v>
      </c>
      <c r="C465" s="1">
        <v>3676824000174</v>
      </c>
      <c r="D465" t="s">
        <v>1922</v>
      </c>
      <c r="E465" t="s">
        <v>1765</v>
      </c>
      <c r="F465" t="s">
        <v>7</v>
      </c>
      <c r="G465">
        <v>20931002</v>
      </c>
      <c r="H465" t="s">
        <v>1923</v>
      </c>
      <c r="I465" t="s">
        <v>1924</v>
      </c>
      <c r="J465" t="s">
        <v>56</v>
      </c>
      <c r="K465">
        <v>7</v>
      </c>
      <c r="L465">
        <v>20</v>
      </c>
      <c r="M465">
        <v>2026</v>
      </c>
      <c r="N465" t="s">
        <v>47</v>
      </c>
      <c r="O465" s="5">
        <f>DATE(Tabela1[[#This Row],[vigencia ano]],Tabela1[[#This Row],[vigencia mês]],Tabela1[[#This Row],[vigencia dia]])</f>
        <v>46606</v>
      </c>
    </row>
    <row r="466" spans="1:15" x14ac:dyDescent="0.25">
      <c r="A466" t="s">
        <v>41</v>
      </c>
      <c r="B466" t="s">
        <v>1925</v>
      </c>
      <c r="C466" s="1">
        <v>14977687000124</v>
      </c>
      <c r="D466" t="s">
        <v>1926</v>
      </c>
      <c r="E466" t="s">
        <v>1765</v>
      </c>
      <c r="F466" t="s">
        <v>7</v>
      </c>
      <c r="G466">
        <v>20220281</v>
      </c>
      <c r="H466" t="s">
        <v>1349</v>
      </c>
      <c r="I466" t="s">
        <v>1927</v>
      </c>
      <c r="J466" t="s">
        <v>56</v>
      </c>
      <c r="K466">
        <v>7</v>
      </c>
      <c r="L466">
        <v>9</v>
      </c>
      <c r="M466">
        <v>2025</v>
      </c>
      <c r="N466" t="s">
        <v>47</v>
      </c>
      <c r="O466" s="5">
        <f>DATE(Tabela1[[#This Row],[vigencia ano]],Tabela1[[#This Row],[vigencia mês]],Tabela1[[#This Row],[vigencia dia]])</f>
        <v>45907</v>
      </c>
    </row>
    <row r="467" spans="1:15" x14ac:dyDescent="0.25">
      <c r="A467" t="s">
        <v>41</v>
      </c>
      <c r="B467" t="s">
        <v>1928</v>
      </c>
      <c r="C467" s="1">
        <v>28675775000186</v>
      </c>
      <c r="D467" t="s">
        <v>1929</v>
      </c>
      <c r="E467" t="s">
        <v>1765</v>
      </c>
      <c r="F467" t="s">
        <v>7</v>
      </c>
      <c r="G467">
        <v>21371220</v>
      </c>
      <c r="H467" t="s">
        <v>1930</v>
      </c>
      <c r="I467" t="s">
        <v>1931</v>
      </c>
      <c r="J467" t="s">
        <v>56</v>
      </c>
      <c r="K467">
        <v>2</v>
      </c>
      <c r="L467">
        <v>9</v>
      </c>
      <c r="M467">
        <v>2022</v>
      </c>
      <c r="N467" t="s">
        <v>47</v>
      </c>
      <c r="O467" s="5">
        <f>DATE(Tabela1[[#This Row],[vigencia ano]],Tabela1[[#This Row],[vigencia mês]],Tabela1[[#This Row],[vigencia dia]])</f>
        <v>44806</v>
      </c>
    </row>
    <row r="468" spans="1:15" x14ac:dyDescent="0.25">
      <c r="A468" t="s">
        <v>41</v>
      </c>
      <c r="B468" t="s">
        <v>1928</v>
      </c>
      <c r="C468" s="1">
        <v>28675775000186</v>
      </c>
      <c r="D468" t="s">
        <v>1929</v>
      </c>
      <c r="E468" t="s">
        <v>1765</v>
      </c>
      <c r="F468" t="s">
        <v>7</v>
      </c>
      <c r="G468">
        <v>21371220</v>
      </c>
      <c r="H468" t="s">
        <v>1932</v>
      </c>
      <c r="I468" t="s">
        <v>1931</v>
      </c>
      <c r="J468" t="s">
        <v>56</v>
      </c>
      <c r="K468">
        <v>2</v>
      </c>
      <c r="L468">
        <v>9</v>
      </c>
      <c r="M468">
        <v>2022</v>
      </c>
      <c r="N468" t="s">
        <v>47</v>
      </c>
      <c r="O468" s="5">
        <f>DATE(Tabela1[[#This Row],[vigencia ano]],Tabela1[[#This Row],[vigencia mês]],Tabela1[[#This Row],[vigencia dia]])</f>
        <v>44806</v>
      </c>
    </row>
    <row r="469" spans="1:15" x14ac:dyDescent="0.25">
      <c r="A469" t="s">
        <v>41</v>
      </c>
      <c r="B469" t="s">
        <v>1933</v>
      </c>
      <c r="C469" s="1">
        <v>29508637000175</v>
      </c>
      <c r="D469" t="s">
        <v>1934</v>
      </c>
      <c r="E469" t="s">
        <v>1765</v>
      </c>
      <c r="F469" t="s">
        <v>7</v>
      </c>
      <c r="G469">
        <v>21371220</v>
      </c>
      <c r="H469" t="s">
        <v>1935</v>
      </c>
      <c r="I469" t="s">
        <v>1936</v>
      </c>
      <c r="J469" t="s">
        <v>56</v>
      </c>
      <c r="K469">
        <v>12</v>
      </c>
      <c r="L469">
        <v>2</v>
      </c>
      <c r="M469">
        <v>2031</v>
      </c>
      <c r="N469" t="s">
        <v>47</v>
      </c>
      <c r="O469" s="5">
        <f>DATE(Tabela1[[#This Row],[vigencia ano]],Tabela1[[#This Row],[vigencia mês]],Tabela1[[#This Row],[vigencia dia]])</f>
        <v>47891</v>
      </c>
    </row>
    <row r="470" spans="1:15" x14ac:dyDescent="0.25">
      <c r="A470" t="s">
        <v>41</v>
      </c>
      <c r="B470" t="s">
        <v>1933</v>
      </c>
      <c r="C470" s="1">
        <v>29508637000175</v>
      </c>
      <c r="D470" t="s">
        <v>1934</v>
      </c>
      <c r="E470" t="s">
        <v>1765</v>
      </c>
      <c r="F470" t="s">
        <v>7</v>
      </c>
      <c r="G470">
        <v>21371220</v>
      </c>
      <c r="H470" t="s">
        <v>1935</v>
      </c>
      <c r="I470" t="s">
        <v>1936</v>
      </c>
      <c r="J470" t="s">
        <v>56</v>
      </c>
      <c r="K470">
        <v>12</v>
      </c>
      <c r="L470">
        <v>2</v>
      </c>
      <c r="M470">
        <v>2031</v>
      </c>
      <c r="N470" t="s">
        <v>47</v>
      </c>
      <c r="O470" s="5">
        <f>DATE(Tabela1[[#This Row],[vigencia ano]],Tabela1[[#This Row],[vigencia mês]],Tabela1[[#This Row],[vigencia dia]])</f>
        <v>47891</v>
      </c>
    </row>
    <row r="471" spans="1:15" x14ac:dyDescent="0.25">
      <c r="A471" t="s">
        <v>41</v>
      </c>
      <c r="B471" t="s">
        <v>1937</v>
      </c>
      <c r="C471" s="1">
        <v>42584342000146</v>
      </c>
      <c r="D471" t="s">
        <v>1938</v>
      </c>
      <c r="E471" t="s">
        <v>1765</v>
      </c>
      <c r="F471" t="s">
        <v>7</v>
      </c>
      <c r="G471">
        <v>20090050</v>
      </c>
      <c r="H471" t="s">
        <v>1939</v>
      </c>
      <c r="I471" t="s">
        <v>1940</v>
      </c>
      <c r="J471" t="s">
        <v>56</v>
      </c>
      <c r="K471">
        <v>11</v>
      </c>
      <c r="L471">
        <v>22</v>
      </c>
      <c r="M471">
        <v>2028</v>
      </c>
      <c r="N471" t="s">
        <v>47</v>
      </c>
      <c r="O471" s="5">
        <f>DATE(Tabela1[[#This Row],[vigencia ano]],Tabela1[[#This Row],[vigencia mês]],Tabela1[[#This Row],[vigencia dia]])</f>
        <v>47402</v>
      </c>
    </row>
    <row r="472" spans="1:15" x14ac:dyDescent="0.25">
      <c r="A472" t="s">
        <v>41</v>
      </c>
      <c r="B472" t="s">
        <v>1941</v>
      </c>
      <c r="C472" s="1">
        <v>1392043000122</v>
      </c>
      <c r="D472" t="s">
        <v>1942</v>
      </c>
      <c r="E472" t="s">
        <v>1765</v>
      </c>
      <c r="F472" t="s">
        <v>7</v>
      </c>
      <c r="G472">
        <v>20021040</v>
      </c>
      <c r="H472" t="s">
        <v>1943</v>
      </c>
      <c r="I472" t="s">
        <v>1944</v>
      </c>
      <c r="J472" t="s">
        <v>46</v>
      </c>
      <c r="K472">
        <v>4</v>
      </c>
      <c r="L472">
        <v>3</v>
      </c>
      <c r="M472">
        <v>2023</v>
      </c>
      <c r="N472" t="s">
        <v>47</v>
      </c>
      <c r="O472" s="5">
        <f>DATE(Tabela1[[#This Row],[vigencia ano]],Tabela1[[#This Row],[vigencia mês]],Tabela1[[#This Row],[vigencia dia]])</f>
        <v>44989</v>
      </c>
    </row>
    <row r="473" spans="1:15" x14ac:dyDescent="0.25">
      <c r="A473" t="s">
        <v>41</v>
      </c>
      <c r="B473" t="s">
        <v>1945</v>
      </c>
      <c r="C473" s="1">
        <v>42598920000101</v>
      </c>
      <c r="D473" t="s">
        <v>1946</v>
      </c>
      <c r="E473" t="s">
        <v>1765</v>
      </c>
      <c r="F473" t="s">
        <v>7</v>
      </c>
      <c r="G473">
        <v>20021040</v>
      </c>
      <c r="H473" t="s">
        <v>1947</v>
      </c>
      <c r="I473" t="s">
        <v>1948</v>
      </c>
      <c r="J473" t="s">
        <v>46</v>
      </c>
      <c r="K473">
        <v>4</v>
      </c>
      <c r="L473">
        <v>1</v>
      </c>
      <c r="M473">
        <v>2023</v>
      </c>
      <c r="N473" t="s">
        <v>47</v>
      </c>
      <c r="O473" s="5">
        <f>DATE(Tabela1[[#This Row],[vigencia ano]],Tabela1[[#This Row],[vigencia mês]],Tabela1[[#This Row],[vigencia dia]])</f>
        <v>44930</v>
      </c>
    </row>
    <row r="474" spans="1:15" x14ac:dyDescent="0.25">
      <c r="A474" t="s">
        <v>41</v>
      </c>
      <c r="B474" t="s">
        <v>1949</v>
      </c>
      <c r="C474" s="1">
        <v>185997000100</v>
      </c>
      <c r="D474" t="s">
        <v>1950</v>
      </c>
      <c r="E474" t="s">
        <v>1765</v>
      </c>
      <c r="F474" t="s">
        <v>7</v>
      </c>
      <c r="G474">
        <v>21040361</v>
      </c>
      <c r="H474" t="s">
        <v>1951</v>
      </c>
      <c r="I474" t="s">
        <v>1952</v>
      </c>
      <c r="J474" t="s">
        <v>56</v>
      </c>
      <c r="K474">
        <v>11</v>
      </c>
      <c r="L474">
        <v>7</v>
      </c>
      <c r="M474">
        <v>2016</v>
      </c>
      <c r="N474" t="s">
        <v>47</v>
      </c>
      <c r="O474" s="5">
        <f>DATE(Tabela1[[#This Row],[vigencia ano]],Tabela1[[#This Row],[vigencia mês]],Tabela1[[#This Row],[vigencia dia]])</f>
        <v>42562</v>
      </c>
    </row>
    <row r="475" spans="1:15" x14ac:dyDescent="0.25">
      <c r="A475" t="s">
        <v>41</v>
      </c>
      <c r="B475" t="s">
        <v>1953</v>
      </c>
      <c r="C475" s="1">
        <v>26095955000163</v>
      </c>
      <c r="D475" t="s">
        <v>1954</v>
      </c>
      <c r="E475" t="s">
        <v>1765</v>
      </c>
      <c r="F475" t="s">
        <v>7</v>
      </c>
      <c r="G475">
        <v>20241180</v>
      </c>
      <c r="H475" t="s">
        <v>1955</v>
      </c>
      <c r="I475" t="s">
        <v>1956</v>
      </c>
      <c r="J475" t="s">
        <v>56</v>
      </c>
      <c r="K475">
        <v>12</v>
      </c>
      <c r="L475">
        <v>16</v>
      </c>
      <c r="M475">
        <v>2031</v>
      </c>
      <c r="N475" t="s">
        <v>47</v>
      </c>
      <c r="O475" s="5">
        <f>DATE(Tabela1[[#This Row],[vigencia ano]],Tabela1[[#This Row],[vigencia mês]],Tabela1[[#This Row],[vigencia dia]])</f>
        <v>48316</v>
      </c>
    </row>
    <row r="476" spans="1:15" x14ac:dyDescent="0.25">
      <c r="A476" t="s">
        <v>41</v>
      </c>
      <c r="B476" t="s">
        <v>1957</v>
      </c>
      <c r="C476" s="1">
        <v>2709449000159</v>
      </c>
      <c r="D476" t="s">
        <v>1958</v>
      </c>
      <c r="E476" t="s">
        <v>1765</v>
      </c>
      <c r="F476" t="s">
        <v>7</v>
      </c>
      <c r="G476">
        <v>20091060</v>
      </c>
      <c r="H476" t="s">
        <v>1959</v>
      </c>
      <c r="I476" t="s">
        <v>1960</v>
      </c>
      <c r="J476" t="s">
        <v>46</v>
      </c>
      <c r="K476">
        <v>8</v>
      </c>
      <c r="L476">
        <v>25</v>
      </c>
      <c r="M476">
        <v>2025</v>
      </c>
      <c r="N476" t="s">
        <v>47</v>
      </c>
      <c r="O476" s="5">
        <f>DATE(Tabela1[[#This Row],[vigencia ano]],Tabela1[[#This Row],[vigencia mês]],Tabela1[[#This Row],[vigencia dia]])</f>
        <v>46395</v>
      </c>
    </row>
    <row r="477" spans="1:15" x14ac:dyDescent="0.25">
      <c r="A477" t="s">
        <v>41</v>
      </c>
      <c r="B477" t="s">
        <v>1961</v>
      </c>
      <c r="C477" s="1">
        <v>40261425000179</v>
      </c>
      <c r="D477" t="s">
        <v>1962</v>
      </c>
      <c r="E477" t="s">
        <v>1765</v>
      </c>
      <c r="F477" t="s">
        <v>7</v>
      </c>
      <c r="G477">
        <v>21011070</v>
      </c>
      <c r="H477" t="s">
        <v>1963</v>
      </c>
      <c r="I477" t="s">
        <v>1964</v>
      </c>
      <c r="J477" t="s">
        <v>56</v>
      </c>
      <c r="K477">
        <v>9</v>
      </c>
      <c r="L477">
        <v>29</v>
      </c>
      <c r="M477">
        <v>2032</v>
      </c>
      <c r="N477" t="s">
        <v>47</v>
      </c>
      <c r="O477" s="5">
        <f>DATE(Tabela1[[#This Row],[vigencia ano]],Tabela1[[#This Row],[vigencia mês]],Tabela1[[#This Row],[vigencia dia]])</f>
        <v>49073</v>
      </c>
    </row>
    <row r="478" spans="1:15" x14ac:dyDescent="0.25">
      <c r="A478" t="s">
        <v>41</v>
      </c>
      <c r="B478" t="s">
        <v>1965</v>
      </c>
      <c r="C478" s="1">
        <v>68688274000159</v>
      </c>
      <c r="D478" t="s">
        <v>1966</v>
      </c>
      <c r="E478" t="s">
        <v>1765</v>
      </c>
      <c r="F478" t="s">
        <v>7</v>
      </c>
      <c r="G478">
        <v>20231030</v>
      </c>
      <c r="H478" t="s">
        <v>1967</v>
      </c>
      <c r="I478" t="s">
        <v>1968</v>
      </c>
      <c r="J478" t="s">
        <v>46</v>
      </c>
      <c r="K478">
        <v>12</v>
      </c>
      <c r="L478">
        <v>12</v>
      </c>
      <c r="M478">
        <v>2032</v>
      </c>
      <c r="N478" t="s">
        <v>47</v>
      </c>
      <c r="O478" s="5">
        <f>DATE(Tabela1[[#This Row],[vigencia ano]],Tabela1[[#This Row],[vigencia mês]],Tabela1[[#This Row],[vigencia dia]])</f>
        <v>48560</v>
      </c>
    </row>
    <row r="479" spans="1:15" x14ac:dyDescent="0.25">
      <c r="A479" t="s">
        <v>41</v>
      </c>
      <c r="B479" t="s">
        <v>1969</v>
      </c>
      <c r="C479" s="1">
        <v>31096068000140</v>
      </c>
      <c r="D479" t="s">
        <v>1970</v>
      </c>
      <c r="E479" t="s">
        <v>1765</v>
      </c>
      <c r="F479" t="s">
        <v>7</v>
      </c>
      <c r="G479">
        <v>20020100</v>
      </c>
      <c r="H479" t="s">
        <v>1971</v>
      </c>
      <c r="I479" t="s">
        <v>1972</v>
      </c>
      <c r="J479" t="s">
        <v>46</v>
      </c>
      <c r="K479">
        <v>5</v>
      </c>
      <c r="L479">
        <v>21</v>
      </c>
      <c r="M479">
        <v>2035</v>
      </c>
      <c r="N479" t="s">
        <v>1973</v>
      </c>
      <c r="O479" s="5">
        <f>DATE(Tabela1[[#This Row],[vigencia ano]],Tabela1[[#This Row],[vigencia mês]],Tabela1[[#This Row],[vigencia dia]])</f>
        <v>49923</v>
      </c>
    </row>
    <row r="480" spans="1:15" x14ac:dyDescent="0.25">
      <c r="A480" t="s">
        <v>41</v>
      </c>
      <c r="B480" t="s">
        <v>1974</v>
      </c>
      <c r="C480" s="1">
        <v>18527562000153</v>
      </c>
      <c r="D480" t="s">
        <v>1975</v>
      </c>
      <c r="E480" t="s">
        <v>1765</v>
      </c>
      <c r="F480" t="s">
        <v>7</v>
      </c>
      <c r="G480">
        <v>20931670</v>
      </c>
      <c r="H480" t="s">
        <v>1976</v>
      </c>
      <c r="I480" t="s">
        <v>1977</v>
      </c>
      <c r="J480" t="s">
        <v>56</v>
      </c>
      <c r="K480">
        <v>11</v>
      </c>
      <c r="L480">
        <v>14</v>
      </c>
      <c r="M480">
        <v>2024</v>
      </c>
      <c r="N480" t="s">
        <v>47</v>
      </c>
      <c r="O480" s="5">
        <f>DATE(Tabela1[[#This Row],[vigencia ano]],Tabela1[[#This Row],[vigencia mês]],Tabela1[[#This Row],[vigencia dia]])</f>
        <v>45699</v>
      </c>
    </row>
    <row r="481" spans="1:15" x14ac:dyDescent="0.25">
      <c r="A481" t="s">
        <v>41</v>
      </c>
      <c r="B481" t="s">
        <v>1978</v>
      </c>
      <c r="C481" s="1">
        <v>1417222000177</v>
      </c>
      <c r="D481" t="s">
        <v>1979</v>
      </c>
      <c r="E481" t="s">
        <v>1765</v>
      </c>
      <c r="F481" t="s">
        <v>7</v>
      </c>
      <c r="G481">
        <v>22250040</v>
      </c>
      <c r="H481" t="s">
        <v>1980</v>
      </c>
      <c r="I481" t="s">
        <v>1981</v>
      </c>
      <c r="J481" t="s">
        <v>56</v>
      </c>
      <c r="K481">
        <v>8</v>
      </c>
      <c r="L481">
        <v>28</v>
      </c>
      <c r="M481">
        <v>2033</v>
      </c>
      <c r="N481" t="s">
        <v>47</v>
      </c>
      <c r="O481" s="5">
        <f>DATE(Tabela1[[#This Row],[vigencia ano]],Tabela1[[#This Row],[vigencia mês]],Tabela1[[#This Row],[vigencia dia]])</f>
        <v>49407</v>
      </c>
    </row>
    <row r="482" spans="1:15" x14ac:dyDescent="0.25">
      <c r="A482" t="s">
        <v>41</v>
      </c>
      <c r="B482" t="s">
        <v>1982</v>
      </c>
      <c r="C482" s="1">
        <v>8872264000147</v>
      </c>
      <c r="D482" t="s">
        <v>1983</v>
      </c>
      <c r="E482" t="s">
        <v>1765</v>
      </c>
      <c r="F482" t="s">
        <v>7</v>
      </c>
      <c r="G482">
        <v>22775056</v>
      </c>
      <c r="H482" t="s">
        <v>1984</v>
      </c>
      <c r="I482" t="s">
        <v>1985</v>
      </c>
      <c r="J482" t="s">
        <v>56</v>
      </c>
      <c r="K482">
        <v>11</v>
      </c>
      <c r="L482">
        <v>4</v>
      </c>
      <c r="M482">
        <v>2025</v>
      </c>
      <c r="N482" t="s">
        <v>47</v>
      </c>
      <c r="O482" s="5">
        <f>DATE(Tabela1[[#This Row],[vigencia ano]],Tabela1[[#This Row],[vigencia mês]],Tabela1[[#This Row],[vigencia dia]])</f>
        <v>45758</v>
      </c>
    </row>
    <row r="483" spans="1:15" x14ac:dyDescent="0.25">
      <c r="A483" t="s">
        <v>41</v>
      </c>
      <c r="B483" t="s">
        <v>1986</v>
      </c>
      <c r="C483" s="1">
        <v>19465179000180</v>
      </c>
      <c r="D483" t="s">
        <v>1987</v>
      </c>
      <c r="E483" t="s">
        <v>1765</v>
      </c>
      <c r="F483" t="s">
        <v>7</v>
      </c>
      <c r="G483">
        <v>20020050</v>
      </c>
      <c r="H483" t="s">
        <v>1988</v>
      </c>
      <c r="I483" t="s">
        <v>1989</v>
      </c>
      <c r="J483" t="s">
        <v>56</v>
      </c>
      <c r="K483">
        <v>4</v>
      </c>
      <c r="L483">
        <v>1</v>
      </c>
      <c r="M483">
        <v>2029</v>
      </c>
      <c r="N483" t="s">
        <v>47</v>
      </c>
      <c r="O483" s="5">
        <f>DATE(Tabela1[[#This Row],[vigencia ano]],Tabela1[[#This Row],[vigencia mês]],Tabela1[[#This Row],[vigencia dia]])</f>
        <v>47122</v>
      </c>
    </row>
    <row r="484" spans="1:15" x14ac:dyDescent="0.25">
      <c r="A484" t="s">
        <v>41</v>
      </c>
      <c r="B484" t="s">
        <v>1990</v>
      </c>
      <c r="C484" s="1">
        <v>9534778000155</v>
      </c>
      <c r="D484" t="s">
        <v>1991</v>
      </c>
      <c r="E484" t="s">
        <v>1765</v>
      </c>
      <c r="F484" t="s">
        <v>7</v>
      </c>
      <c r="G484">
        <v>20090003</v>
      </c>
      <c r="H484" t="s">
        <v>1341</v>
      </c>
      <c r="I484" t="s">
        <v>1992</v>
      </c>
      <c r="J484" t="s">
        <v>56</v>
      </c>
      <c r="K484">
        <v>2</v>
      </c>
      <c r="L484">
        <v>16</v>
      </c>
      <c r="M484">
        <v>2026</v>
      </c>
      <c r="N484" t="s">
        <v>47</v>
      </c>
      <c r="O484" s="5">
        <f>DATE(Tabela1[[#This Row],[vigencia ano]],Tabela1[[#This Row],[vigencia mês]],Tabela1[[#This Row],[vigencia dia]])</f>
        <v>46479</v>
      </c>
    </row>
    <row r="485" spans="1:15" x14ac:dyDescent="0.25">
      <c r="A485" t="s">
        <v>41</v>
      </c>
      <c r="B485" t="s">
        <v>1993</v>
      </c>
      <c r="C485" s="1">
        <v>15716762000166</v>
      </c>
      <c r="D485" t="s">
        <v>1994</v>
      </c>
      <c r="E485" t="s">
        <v>1765</v>
      </c>
      <c r="F485" t="s">
        <v>7</v>
      </c>
      <c r="G485">
        <v>22725421</v>
      </c>
      <c r="H485" t="s">
        <v>1995</v>
      </c>
      <c r="I485" t="s">
        <v>1996</v>
      </c>
      <c r="J485" t="s">
        <v>56</v>
      </c>
      <c r="K485">
        <v>8</v>
      </c>
      <c r="L485">
        <v>5</v>
      </c>
      <c r="M485">
        <v>2023</v>
      </c>
      <c r="N485" t="s">
        <v>47</v>
      </c>
      <c r="O485" s="5">
        <f>DATE(Tabela1[[#This Row],[vigencia ano]],Tabela1[[#This Row],[vigencia mês]],Tabela1[[#This Row],[vigencia dia]])</f>
        <v>45054</v>
      </c>
    </row>
    <row r="486" spans="1:15" x14ac:dyDescent="0.25">
      <c r="A486" t="s">
        <v>41</v>
      </c>
      <c r="B486" t="s">
        <v>1997</v>
      </c>
      <c r="C486" s="1">
        <v>2155413000170</v>
      </c>
      <c r="D486" t="s">
        <v>1998</v>
      </c>
      <c r="E486" t="s">
        <v>1765</v>
      </c>
      <c r="F486" t="s">
        <v>7</v>
      </c>
      <c r="G486">
        <v>20071003</v>
      </c>
      <c r="H486" t="s">
        <v>1999</v>
      </c>
      <c r="I486" t="s">
        <v>2000</v>
      </c>
      <c r="J486" t="s">
        <v>56</v>
      </c>
      <c r="K486">
        <v>7</v>
      </c>
      <c r="L486">
        <v>29</v>
      </c>
      <c r="M486">
        <v>2025</v>
      </c>
      <c r="N486" t="s">
        <v>47</v>
      </c>
      <c r="O486" s="5">
        <f>DATE(Tabela1[[#This Row],[vigencia ano]],Tabela1[[#This Row],[vigencia mês]],Tabela1[[#This Row],[vigencia dia]])</f>
        <v>46514</v>
      </c>
    </row>
    <row r="487" spans="1:15" x14ac:dyDescent="0.25">
      <c r="A487" t="s">
        <v>41</v>
      </c>
      <c r="B487" t="s">
        <v>2001</v>
      </c>
      <c r="C487" s="1">
        <v>42278291000124</v>
      </c>
      <c r="D487" t="s">
        <v>2002</v>
      </c>
      <c r="E487" t="s">
        <v>1765</v>
      </c>
      <c r="F487" t="s">
        <v>7</v>
      </c>
      <c r="G487">
        <v>22250040</v>
      </c>
      <c r="H487" t="s">
        <v>2003</v>
      </c>
      <c r="I487" t="s">
        <v>2004</v>
      </c>
      <c r="J487" t="s">
        <v>46</v>
      </c>
      <c r="K487">
        <v>9</v>
      </c>
      <c r="L487">
        <v>20</v>
      </c>
      <c r="M487">
        <v>2032</v>
      </c>
      <c r="N487" t="s">
        <v>47</v>
      </c>
      <c r="O487" s="5">
        <f>DATE(Tabela1[[#This Row],[vigencia ano]],Tabela1[[#This Row],[vigencia mês]],Tabela1[[#This Row],[vigencia dia]])</f>
        <v>48800</v>
      </c>
    </row>
    <row r="488" spans="1:15" x14ac:dyDescent="0.25">
      <c r="A488" t="s">
        <v>41</v>
      </c>
      <c r="B488" t="s">
        <v>2001</v>
      </c>
      <c r="C488" s="1">
        <v>42278291000124</v>
      </c>
      <c r="D488" t="s">
        <v>2002</v>
      </c>
      <c r="E488" t="s">
        <v>1765</v>
      </c>
      <c r="F488" t="s">
        <v>7</v>
      </c>
      <c r="G488">
        <v>22250040</v>
      </c>
      <c r="H488" t="s">
        <v>2003</v>
      </c>
      <c r="I488" t="s">
        <v>2005</v>
      </c>
      <c r="J488" t="s">
        <v>46</v>
      </c>
      <c r="K488">
        <v>1</v>
      </c>
      <c r="L488">
        <v>18</v>
      </c>
      <c r="M488">
        <v>2017</v>
      </c>
      <c r="N488" t="s">
        <v>47</v>
      </c>
      <c r="O488" s="5">
        <f>DATE(Tabela1[[#This Row],[vigencia ano]],Tabela1[[#This Row],[vigencia mês]],Tabela1[[#This Row],[vigencia dia]])</f>
        <v>43252</v>
      </c>
    </row>
    <row r="489" spans="1:15" x14ac:dyDescent="0.25">
      <c r="A489" t="s">
        <v>41</v>
      </c>
      <c r="B489" t="s">
        <v>2006</v>
      </c>
      <c r="C489" s="1">
        <v>9584935000137</v>
      </c>
      <c r="D489" t="s">
        <v>2007</v>
      </c>
      <c r="E489" t="s">
        <v>1765</v>
      </c>
      <c r="F489" t="s">
        <v>7</v>
      </c>
      <c r="G489">
        <v>22210906</v>
      </c>
      <c r="H489" t="s">
        <v>2008</v>
      </c>
      <c r="I489" t="s">
        <v>2009</v>
      </c>
      <c r="J489" t="s">
        <v>56</v>
      </c>
      <c r="K489">
        <v>10</v>
      </c>
      <c r="L489">
        <v>1</v>
      </c>
      <c r="M489">
        <v>2034</v>
      </c>
      <c r="N489" t="s">
        <v>47</v>
      </c>
      <c r="O489" s="5">
        <f>DATE(Tabela1[[#This Row],[vigencia ano]],Tabela1[[#This Row],[vigencia mês]],Tabela1[[#This Row],[vigencia dia]])</f>
        <v>48954</v>
      </c>
    </row>
    <row r="490" spans="1:15" x14ac:dyDescent="0.25">
      <c r="A490" t="s">
        <v>41</v>
      </c>
      <c r="B490" t="s">
        <v>2010</v>
      </c>
      <c r="C490" s="1">
        <v>3004874000105</v>
      </c>
      <c r="D490" t="s">
        <v>2011</v>
      </c>
      <c r="E490" t="s">
        <v>1765</v>
      </c>
      <c r="F490" t="s">
        <v>7</v>
      </c>
      <c r="G490">
        <v>22440032</v>
      </c>
      <c r="H490" t="s">
        <v>2012</v>
      </c>
      <c r="I490" t="s">
        <v>2013</v>
      </c>
      <c r="J490" t="s">
        <v>56</v>
      </c>
      <c r="K490">
        <v>9</v>
      </c>
      <c r="L490">
        <v>9</v>
      </c>
      <c r="M490">
        <v>2021</v>
      </c>
      <c r="N490" t="s">
        <v>47</v>
      </c>
      <c r="O490" s="5">
        <f>DATE(Tabela1[[#This Row],[vigencia ano]],Tabela1[[#This Row],[vigencia mês]],Tabela1[[#This Row],[vigencia dia]])</f>
        <v>44448</v>
      </c>
    </row>
    <row r="491" spans="1:15" x14ac:dyDescent="0.25">
      <c r="A491" t="s">
        <v>41</v>
      </c>
      <c r="B491" t="s">
        <v>2014</v>
      </c>
      <c r="C491" s="1">
        <v>468285000190</v>
      </c>
      <c r="D491" t="s">
        <v>2015</v>
      </c>
      <c r="E491" t="s">
        <v>1765</v>
      </c>
      <c r="F491" t="s">
        <v>7</v>
      </c>
      <c r="G491">
        <v>21011000</v>
      </c>
      <c r="H491" t="s">
        <v>2016</v>
      </c>
      <c r="I491" t="s">
        <v>2017</v>
      </c>
      <c r="J491" t="s">
        <v>46</v>
      </c>
      <c r="K491">
        <v>12</v>
      </c>
      <c r="L491">
        <v>28</v>
      </c>
      <c r="M491">
        <v>2028</v>
      </c>
      <c r="N491" t="s">
        <v>47</v>
      </c>
      <c r="O491" s="5">
        <f>DATE(Tabela1[[#This Row],[vigencia ano]],Tabela1[[#This Row],[vigencia mês]],Tabela1[[#This Row],[vigencia dia]])</f>
        <v>47585</v>
      </c>
    </row>
    <row r="492" spans="1:15" x14ac:dyDescent="0.25">
      <c r="A492" t="s">
        <v>41</v>
      </c>
      <c r="B492" t="s">
        <v>2018</v>
      </c>
      <c r="C492" s="1">
        <v>29355260000161</v>
      </c>
      <c r="D492" t="s">
        <v>2019</v>
      </c>
      <c r="E492" t="s">
        <v>1765</v>
      </c>
      <c r="F492" t="s">
        <v>7</v>
      </c>
      <c r="G492">
        <v>20220710</v>
      </c>
      <c r="H492" t="s">
        <v>2020</v>
      </c>
      <c r="I492" t="s">
        <v>2021</v>
      </c>
      <c r="J492" t="s">
        <v>56</v>
      </c>
      <c r="K492">
        <v>5</v>
      </c>
      <c r="L492">
        <v>15</v>
      </c>
      <c r="M492">
        <v>2030</v>
      </c>
      <c r="N492" t="s">
        <v>47</v>
      </c>
      <c r="O492" s="5">
        <f>DATE(Tabela1[[#This Row],[vigencia ano]],Tabela1[[#This Row],[vigencia mês]],Tabela1[[#This Row],[vigencia dia]])</f>
        <v>47912</v>
      </c>
    </row>
    <row r="493" spans="1:15" x14ac:dyDescent="0.25">
      <c r="A493" t="s">
        <v>41</v>
      </c>
      <c r="B493" t="s">
        <v>2022</v>
      </c>
      <c r="C493" s="1">
        <v>2612230000137</v>
      </c>
      <c r="D493" t="s">
        <v>2023</v>
      </c>
      <c r="E493" t="s">
        <v>1765</v>
      </c>
      <c r="F493" t="s">
        <v>7</v>
      </c>
      <c r="G493">
        <v>20090001</v>
      </c>
      <c r="H493" t="s">
        <v>2024</v>
      </c>
      <c r="I493" t="s">
        <v>2025</v>
      </c>
      <c r="J493" t="s">
        <v>46</v>
      </c>
      <c r="K493">
        <v>10</v>
      </c>
      <c r="L493">
        <v>14</v>
      </c>
      <c r="M493">
        <v>2025</v>
      </c>
      <c r="N493" t="s">
        <v>47</v>
      </c>
      <c r="O493" s="5">
        <f>DATE(Tabela1[[#This Row],[vigencia ano]],Tabela1[[#This Row],[vigencia mês]],Tabela1[[#This Row],[vigencia dia]])</f>
        <v>46063</v>
      </c>
    </row>
    <row r="494" spans="1:15" x14ac:dyDescent="0.25">
      <c r="A494" t="s">
        <v>41</v>
      </c>
      <c r="B494" t="s">
        <v>2026</v>
      </c>
      <c r="C494" s="1">
        <v>22886829000176</v>
      </c>
      <c r="D494" t="s">
        <v>2027</v>
      </c>
      <c r="E494" t="s">
        <v>1765</v>
      </c>
      <c r="F494" t="s">
        <v>7</v>
      </c>
      <c r="G494">
        <v>20091005</v>
      </c>
      <c r="H494" t="s">
        <v>2028</v>
      </c>
      <c r="I494" t="s">
        <v>2029</v>
      </c>
      <c r="J494" t="s">
        <v>56</v>
      </c>
      <c r="K494">
        <v>10</v>
      </c>
      <c r="L494">
        <v>18</v>
      </c>
      <c r="M494">
        <v>2026</v>
      </c>
      <c r="N494" t="s">
        <v>47</v>
      </c>
      <c r="O494" s="5">
        <f>DATE(Tabela1[[#This Row],[vigencia ano]],Tabela1[[#This Row],[vigencia mês]],Tabela1[[#This Row],[vigencia dia]])</f>
        <v>46548</v>
      </c>
    </row>
    <row r="495" spans="1:15" x14ac:dyDescent="0.25">
      <c r="A495" t="s">
        <v>41</v>
      </c>
      <c r="B495" t="s">
        <v>2030</v>
      </c>
      <c r="C495" s="1">
        <v>42415810000159</v>
      </c>
      <c r="D495" t="s">
        <v>2031</v>
      </c>
      <c r="E495" t="s">
        <v>1765</v>
      </c>
      <c r="F495" t="s">
        <v>7</v>
      </c>
      <c r="G495">
        <v>23078002</v>
      </c>
      <c r="H495" t="s">
        <v>2032</v>
      </c>
      <c r="I495" t="s">
        <v>2033</v>
      </c>
      <c r="J495" t="s">
        <v>46</v>
      </c>
      <c r="K495">
        <v>8</v>
      </c>
      <c r="L495">
        <v>18</v>
      </c>
      <c r="M495">
        <v>2025</v>
      </c>
      <c r="N495" t="s">
        <v>47</v>
      </c>
      <c r="O495" s="5">
        <f>DATE(Tabela1[[#This Row],[vigencia ano]],Tabela1[[#This Row],[vigencia mês]],Tabela1[[#This Row],[vigencia dia]])</f>
        <v>46181</v>
      </c>
    </row>
    <row r="496" spans="1:15" x14ac:dyDescent="0.25">
      <c r="A496" t="s">
        <v>41</v>
      </c>
      <c r="B496" t="s">
        <v>2034</v>
      </c>
      <c r="C496" s="1">
        <v>202759000157</v>
      </c>
      <c r="D496" t="s">
        <v>2035</v>
      </c>
      <c r="E496" t="s">
        <v>1765</v>
      </c>
      <c r="F496" t="s">
        <v>7</v>
      </c>
      <c r="G496">
        <v>23078002</v>
      </c>
      <c r="H496" t="s">
        <v>2032</v>
      </c>
      <c r="I496" t="s">
        <v>2036</v>
      </c>
      <c r="J496" t="s">
        <v>46</v>
      </c>
      <c r="K496">
        <v>9</v>
      </c>
      <c r="L496">
        <v>26</v>
      </c>
      <c r="M496">
        <v>2035</v>
      </c>
      <c r="N496" t="s">
        <v>2037</v>
      </c>
      <c r="O496" s="5">
        <f>DATE(Tabela1[[#This Row],[vigencia ano]],Tabela1[[#This Row],[vigencia mês]],Tabela1[[#This Row],[vigencia dia]])</f>
        <v>50080</v>
      </c>
    </row>
    <row r="497" spans="1:15" x14ac:dyDescent="0.25">
      <c r="A497" t="s">
        <v>41</v>
      </c>
      <c r="B497" t="s">
        <v>2034</v>
      </c>
      <c r="C497" s="1">
        <v>202759000157</v>
      </c>
      <c r="D497" t="s">
        <v>2035</v>
      </c>
      <c r="E497" t="s">
        <v>1765</v>
      </c>
      <c r="F497" t="s">
        <v>7</v>
      </c>
      <c r="G497">
        <v>23078002</v>
      </c>
      <c r="H497" t="s">
        <v>2038</v>
      </c>
      <c r="I497" t="s">
        <v>2036</v>
      </c>
      <c r="J497" t="s">
        <v>46</v>
      </c>
      <c r="K497">
        <v>9</v>
      </c>
      <c r="L497">
        <v>26</v>
      </c>
      <c r="M497">
        <v>2035</v>
      </c>
      <c r="N497" t="s">
        <v>2037</v>
      </c>
      <c r="O497" s="5">
        <f>DATE(Tabela1[[#This Row],[vigencia ano]],Tabela1[[#This Row],[vigencia mês]],Tabela1[[#This Row],[vigencia dia]])</f>
        <v>50080</v>
      </c>
    </row>
    <row r="498" spans="1:15" x14ac:dyDescent="0.25">
      <c r="A498" t="s">
        <v>41</v>
      </c>
      <c r="B498" t="s">
        <v>2039</v>
      </c>
      <c r="C498" s="1">
        <v>6184750000147</v>
      </c>
      <c r="D498" t="s">
        <v>2040</v>
      </c>
      <c r="E498" t="s">
        <v>1765</v>
      </c>
      <c r="F498" t="s">
        <v>7</v>
      </c>
      <c r="G498">
        <v>21011540</v>
      </c>
      <c r="H498" t="s">
        <v>2041</v>
      </c>
      <c r="I498" t="s">
        <v>2042</v>
      </c>
      <c r="J498" t="s">
        <v>56</v>
      </c>
      <c r="K498">
        <v>11</v>
      </c>
      <c r="L498">
        <v>12</v>
      </c>
      <c r="M498">
        <v>2030</v>
      </c>
      <c r="N498" t="s">
        <v>47</v>
      </c>
      <c r="O498" s="5">
        <f>DATE(Tabela1[[#This Row],[vigencia ano]],Tabela1[[#This Row],[vigencia mês]],Tabela1[[#This Row],[vigencia dia]])</f>
        <v>47828</v>
      </c>
    </row>
    <row r="499" spans="1:15" x14ac:dyDescent="0.25">
      <c r="A499" t="s">
        <v>41</v>
      </c>
      <c r="B499" t="s">
        <v>2043</v>
      </c>
      <c r="C499" s="1">
        <v>29380383000152</v>
      </c>
      <c r="D499" t="s">
        <v>2044</v>
      </c>
      <c r="E499" t="s">
        <v>1765</v>
      </c>
      <c r="F499" t="s">
        <v>7</v>
      </c>
      <c r="G499">
        <v>20091007</v>
      </c>
      <c r="H499" t="s">
        <v>2045</v>
      </c>
      <c r="I499" t="s">
        <v>2046</v>
      </c>
      <c r="J499" t="s">
        <v>56</v>
      </c>
      <c r="K499">
        <v>12</v>
      </c>
      <c r="L499">
        <v>9</v>
      </c>
      <c r="M499">
        <v>2015</v>
      </c>
      <c r="N499" t="s">
        <v>47</v>
      </c>
      <c r="O499" s="5">
        <f>DATE(Tabela1[[#This Row],[vigencia ano]],Tabela1[[#This Row],[vigencia mês]],Tabela1[[#This Row],[vigencia dia]])</f>
        <v>42259</v>
      </c>
    </row>
    <row r="500" spans="1:15" x14ac:dyDescent="0.25">
      <c r="A500" t="s">
        <v>41</v>
      </c>
      <c r="B500" t="s">
        <v>2047</v>
      </c>
      <c r="C500" s="1">
        <v>21747073000111</v>
      </c>
      <c r="D500" t="s">
        <v>2048</v>
      </c>
      <c r="E500" t="s">
        <v>1765</v>
      </c>
      <c r="F500" t="s">
        <v>7</v>
      </c>
      <c r="G500">
        <v>20520160</v>
      </c>
      <c r="H500" t="s">
        <v>2049</v>
      </c>
      <c r="I500" t="s">
        <v>2050</v>
      </c>
      <c r="J500" t="s">
        <v>56</v>
      </c>
      <c r="K500">
        <v>6</v>
      </c>
      <c r="L500">
        <v>26</v>
      </c>
      <c r="M500">
        <v>2025</v>
      </c>
      <c r="N500" t="s">
        <v>47</v>
      </c>
      <c r="O500" s="5">
        <f>DATE(Tabela1[[#This Row],[vigencia ano]],Tabela1[[#This Row],[vigencia mês]],Tabela1[[#This Row],[vigencia dia]])</f>
        <v>46424</v>
      </c>
    </row>
    <row r="501" spans="1:15" x14ac:dyDescent="0.25">
      <c r="A501" t="s">
        <v>41</v>
      </c>
      <c r="B501" t="s">
        <v>2051</v>
      </c>
      <c r="C501" s="1">
        <v>16831972000168</v>
      </c>
      <c r="D501" t="s">
        <v>2052</v>
      </c>
      <c r="E501" t="s">
        <v>1765</v>
      </c>
      <c r="F501" t="s">
        <v>7</v>
      </c>
      <c r="G501">
        <v>20091007</v>
      </c>
      <c r="H501" t="s">
        <v>2053</v>
      </c>
      <c r="I501" t="s">
        <v>2054</v>
      </c>
      <c r="J501" t="s">
        <v>56</v>
      </c>
      <c r="K501">
        <v>3</v>
      </c>
      <c r="L501">
        <v>1</v>
      </c>
      <c r="M501">
        <v>2034</v>
      </c>
      <c r="N501" t="s">
        <v>47</v>
      </c>
      <c r="O501" s="5">
        <f>DATE(Tabela1[[#This Row],[vigencia ano]],Tabela1[[#This Row],[vigencia mês]],Tabela1[[#This Row],[vigencia dia]])</f>
        <v>48947</v>
      </c>
    </row>
    <row r="502" spans="1:15" x14ac:dyDescent="0.25">
      <c r="A502" t="s">
        <v>41</v>
      </c>
      <c r="B502" t="s">
        <v>2055</v>
      </c>
      <c r="C502" s="1">
        <v>51077576000198</v>
      </c>
      <c r="D502" t="s">
        <v>2056</v>
      </c>
      <c r="E502" t="s">
        <v>1765</v>
      </c>
      <c r="F502" t="s">
        <v>7</v>
      </c>
      <c r="G502">
        <v>20091005</v>
      </c>
      <c r="H502" t="s">
        <v>2057</v>
      </c>
      <c r="I502" t="s">
        <v>2058</v>
      </c>
      <c r="J502" t="s">
        <v>56</v>
      </c>
      <c r="K502">
        <v>4</v>
      </c>
      <c r="L502">
        <v>23</v>
      </c>
      <c r="M502">
        <v>2025</v>
      </c>
      <c r="N502" t="s">
        <v>47</v>
      </c>
      <c r="O502" s="5">
        <f>DATE(Tabela1[[#This Row],[vigencia ano]],Tabela1[[#This Row],[vigencia mês]],Tabela1[[#This Row],[vigencia dia]])</f>
        <v>46330</v>
      </c>
    </row>
    <row r="503" spans="1:15" x14ac:dyDescent="0.25">
      <c r="A503" t="s">
        <v>41</v>
      </c>
      <c r="B503" t="s">
        <v>2059</v>
      </c>
      <c r="C503" s="1">
        <v>3852972000100</v>
      </c>
      <c r="D503" t="s">
        <v>2060</v>
      </c>
      <c r="E503" t="s">
        <v>1765</v>
      </c>
      <c r="F503" t="s">
        <v>7</v>
      </c>
      <c r="G503">
        <v>22250145</v>
      </c>
      <c r="H503" t="s">
        <v>2061</v>
      </c>
      <c r="I503" t="s">
        <v>2062</v>
      </c>
      <c r="J503" t="s">
        <v>46</v>
      </c>
      <c r="K503">
        <v>3</v>
      </c>
      <c r="L503">
        <v>29</v>
      </c>
      <c r="M503">
        <v>2028</v>
      </c>
      <c r="N503" t="s">
        <v>47</v>
      </c>
      <c r="O503" s="5">
        <f>DATE(Tabela1[[#This Row],[vigencia ano]],Tabela1[[#This Row],[vigencia mês]],Tabela1[[#This Row],[vigencia dia]])</f>
        <v>47606</v>
      </c>
    </row>
    <row r="504" spans="1:15" x14ac:dyDescent="0.25">
      <c r="A504" t="s">
        <v>41</v>
      </c>
      <c r="B504" t="s">
        <v>2063</v>
      </c>
      <c r="C504" s="1">
        <v>3852000000000</v>
      </c>
      <c r="D504" t="s">
        <v>2064</v>
      </c>
      <c r="E504" t="s">
        <v>1765</v>
      </c>
      <c r="F504" t="s">
        <v>7</v>
      </c>
      <c r="G504">
        <v>20090902</v>
      </c>
      <c r="H504" t="s">
        <v>2065</v>
      </c>
      <c r="I504" t="s">
        <v>2066</v>
      </c>
      <c r="J504" t="s">
        <v>46</v>
      </c>
      <c r="K504">
        <v>4</v>
      </c>
      <c r="L504">
        <v>12</v>
      </c>
      <c r="M504">
        <v>2016</v>
      </c>
      <c r="N504" t="s">
        <v>47</v>
      </c>
      <c r="O504" s="5">
        <f>DATE(Tabela1[[#This Row],[vigencia ano]],Tabela1[[#This Row],[vigencia mês]],Tabela1[[#This Row],[vigencia dia]])</f>
        <v>42708</v>
      </c>
    </row>
    <row r="505" spans="1:15" x14ac:dyDescent="0.25">
      <c r="A505" t="s">
        <v>41</v>
      </c>
      <c r="B505" t="s">
        <v>2067</v>
      </c>
      <c r="C505" s="1">
        <v>21780589000168</v>
      </c>
      <c r="D505" t="s">
        <v>2068</v>
      </c>
      <c r="E505" t="s">
        <v>1765</v>
      </c>
      <c r="F505" t="s">
        <v>7</v>
      </c>
      <c r="G505">
        <v>22775024</v>
      </c>
      <c r="H505" t="s">
        <v>2069</v>
      </c>
      <c r="I505" t="s">
        <v>2070</v>
      </c>
      <c r="J505" t="s">
        <v>56</v>
      </c>
      <c r="K505">
        <v>5</v>
      </c>
      <c r="L505">
        <v>13</v>
      </c>
      <c r="M505">
        <v>2035</v>
      </c>
      <c r="N505" t="s">
        <v>2071</v>
      </c>
      <c r="O505" s="5">
        <f>DATE(Tabela1[[#This Row],[vigencia ano]],Tabela1[[#This Row],[vigencia mês]],Tabela1[[#This Row],[vigencia dia]])</f>
        <v>49679</v>
      </c>
    </row>
    <row r="506" spans="1:15" x14ac:dyDescent="0.25">
      <c r="A506" t="s">
        <v>41</v>
      </c>
      <c r="B506" t="s">
        <v>2072</v>
      </c>
      <c r="C506" s="1">
        <v>23671660000108</v>
      </c>
      <c r="D506" t="s">
        <v>2073</v>
      </c>
      <c r="E506" t="s">
        <v>1765</v>
      </c>
      <c r="F506" t="s">
        <v>7</v>
      </c>
      <c r="G506">
        <v>21011900</v>
      </c>
      <c r="H506" t="s">
        <v>2074</v>
      </c>
      <c r="I506" t="s">
        <v>2075</v>
      </c>
      <c r="J506" t="s">
        <v>46</v>
      </c>
      <c r="K506">
        <v>4</v>
      </c>
      <c r="L506">
        <v>15</v>
      </c>
      <c r="M506">
        <v>2036</v>
      </c>
      <c r="N506" t="s">
        <v>2076</v>
      </c>
      <c r="O506" s="5">
        <f>DATE(Tabela1[[#This Row],[vigencia ano]],Tabela1[[#This Row],[vigencia mês]],Tabela1[[#This Row],[vigencia dia]])</f>
        <v>50103</v>
      </c>
    </row>
    <row r="507" spans="1:15" x14ac:dyDescent="0.25">
      <c r="A507" t="s">
        <v>41</v>
      </c>
      <c r="B507" t="s">
        <v>2077</v>
      </c>
      <c r="C507" s="1">
        <v>39231148000172</v>
      </c>
      <c r="D507" t="s">
        <v>2078</v>
      </c>
      <c r="E507" t="s">
        <v>1765</v>
      </c>
      <c r="F507" t="s">
        <v>7</v>
      </c>
      <c r="G507">
        <v>20090001</v>
      </c>
      <c r="H507" t="s">
        <v>2079</v>
      </c>
      <c r="I507" t="s">
        <v>2080</v>
      </c>
      <c r="J507" t="s">
        <v>56</v>
      </c>
      <c r="K507">
        <v>11</v>
      </c>
      <c r="L507">
        <v>26</v>
      </c>
      <c r="M507">
        <v>2035</v>
      </c>
      <c r="N507" t="s">
        <v>2081</v>
      </c>
      <c r="O507" s="5">
        <f>DATE(Tabela1[[#This Row],[vigencia ano]],Tabela1[[#This Row],[vigencia mês]],Tabela1[[#This Row],[vigencia dia]])</f>
        <v>50082</v>
      </c>
    </row>
    <row r="508" spans="1:15" x14ac:dyDescent="0.25">
      <c r="A508" t="s">
        <v>41</v>
      </c>
      <c r="B508" t="s">
        <v>2082</v>
      </c>
      <c r="C508" s="1">
        <v>29764518000183</v>
      </c>
      <c r="D508" t="s">
        <v>2083</v>
      </c>
      <c r="E508" t="s">
        <v>2084</v>
      </c>
      <c r="F508" t="s">
        <v>7</v>
      </c>
      <c r="G508">
        <v>24430620</v>
      </c>
      <c r="H508" t="s">
        <v>2085</v>
      </c>
      <c r="I508" t="s">
        <v>2086</v>
      </c>
      <c r="J508" t="s">
        <v>46</v>
      </c>
      <c r="K508">
        <v>10</v>
      </c>
      <c r="L508">
        <v>9</v>
      </c>
      <c r="M508">
        <v>2030</v>
      </c>
      <c r="N508" t="s">
        <v>47</v>
      </c>
      <c r="O508" s="5">
        <f>DATE(Tabela1[[#This Row],[vigencia ano]],Tabela1[[#This Row],[vigencia mês]],Tabela1[[#This Row],[vigencia dia]])</f>
        <v>47736</v>
      </c>
    </row>
    <row r="509" spans="1:15" x14ac:dyDescent="0.25">
      <c r="A509" t="s">
        <v>41</v>
      </c>
      <c r="B509" t="s">
        <v>2087</v>
      </c>
      <c r="C509" s="1">
        <v>34392693000127</v>
      </c>
      <c r="D509" t="s">
        <v>2088</v>
      </c>
      <c r="E509" t="s">
        <v>2089</v>
      </c>
      <c r="F509" t="s">
        <v>7</v>
      </c>
      <c r="G509">
        <v>28200000</v>
      </c>
      <c r="H509" t="s">
        <v>2090</v>
      </c>
      <c r="I509" t="s">
        <v>2091</v>
      </c>
      <c r="J509" t="s">
        <v>56</v>
      </c>
      <c r="K509">
        <v>7</v>
      </c>
      <c r="L509">
        <v>15</v>
      </c>
      <c r="M509">
        <v>2036</v>
      </c>
      <c r="N509" t="s">
        <v>2092</v>
      </c>
      <c r="O509" s="5">
        <f>DATE(Tabela1[[#This Row],[vigencia ano]],Tabela1[[#This Row],[vigencia mês]],Tabela1[[#This Row],[vigencia dia]])</f>
        <v>50106</v>
      </c>
    </row>
    <row r="510" spans="1:15" x14ac:dyDescent="0.25">
      <c r="A510" t="s">
        <v>41</v>
      </c>
      <c r="B510" t="s">
        <v>2093</v>
      </c>
      <c r="C510" s="1">
        <v>28483069000132</v>
      </c>
      <c r="D510" t="s">
        <v>2094</v>
      </c>
      <c r="E510" t="s">
        <v>2089</v>
      </c>
      <c r="F510" t="s">
        <v>7</v>
      </c>
      <c r="G510">
        <v>28200000</v>
      </c>
      <c r="H510" t="s">
        <v>2095</v>
      </c>
      <c r="I510" t="s">
        <v>2096</v>
      </c>
      <c r="J510" t="s">
        <v>56</v>
      </c>
      <c r="K510">
        <v>7</v>
      </c>
      <c r="L510">
        <v>8</v>
      </c>
      <c r="M510">
        <v>2036</v>
      </c>
      <c r="N510" t="s">
        <v>2097</v>
      </c>
      <c r="O510" s="5">
        <f>DATE(Tabela1[[#This Row],[vigencia ano]],Tabela1[[#This Row],[vigencia mês]],Tabela1[[#This Row],[vigencia dia]])</f>
        <v>49894</v>
      </c>
    </row>
    <row r="511" spans="1:15" x14ac:dyDescent="0.25">
      <c r="A511" t="s">
        <v>41</v>
      </c>
      <c r="B511" t="s">
        <v>2098</v>
      </c>
      <c r="C511" s="1">
        <v>10781353000120</v>
      </c>
      <c r="D511" t="s">
        <v>2099</v>
      </c>
      <c r="E511" t="s">
        <v>2100</v>
      </c>
      <c r="F511" t="s">
        <v>7</v>
      </c>
      <c r="G511">
        <v>25555770</v>
      </c>
      <c r="H511" t="s">
        <v>2101</v>
      </c>
      <c r="I511" t="s">
        <v>2102</v>
      </c>
      <c r="J511" t="s">
        <v>46</v>
      </c>
      <c r="K511">
        <v>12</v>
      </c>
      <c r="L511">
        <v>1</v>
      </c>
      <c r="M511">
        <v>2030</v>
      </c>
      <c r="N511" t="s">
        <v>47</v>
      </c>
      <c r="O511" s="5">
        <f>DATE(Tabela1[[#This Row],[vigencia ano]],Tabela1[[#This Row],[vigencia mês]],Tabela1[[#This Row],[vigencia dia]])</f>
        <v>47495</v>
      </c>
    </row>
    <row r="512" spans="1:15" x14ac:dyDescent="0.25">
      <c r="A512" t="s">
        <v>41</v>
      </c>
      <c r="B512" t="s">
        <v>2103</v>
      </c>
      <c r="C512" s="1">
        <v>11117204000123</v>
      </c>
      <c r="D512" t="s">
        <v>2104</v>
      </c>
      <c r="E512" t="s">
        <v>2105</v>
      </c>
      <c r="F512" t="s">
        <v>7</v>
      </c>
      <c r="G512">
        <v>28993000</v>
      </c>
      <c r="H512" t="s">
        <v>2106</v>
      </c>
      <c r="I512" t="s">
        <v>2107</v>
      </c>
      <c r="J512" t="s">
        <v>56</v>
      </c>
      <c r="K512">
        <v>9</v>
      </c>
      <c r="L512">
        <v>27</v>
      </c>
      <c r="M512">
        <v>2022</v>
      </c>
      <c r="N512" t="s">
        <v>47</v>
      </c>
      <c r="O512" s="5">
        <f>DATE(Tabela1[[#This Row],[vigencia ano]],Tabela1[[#This Row],[vigencia mês]],Tabela1[[#This Row],[vigencia dia]])</f>
        <v>45360</v>
      </c>
    </row>
    <row r="513" spans="1:15" x14ac:dyDescent="0.25">
      <c r="A513" t="s">
        <v>41</v>
      </c>
      <c r="B513" t="s">
        <v>2108</v>
      </c>
      <c r="C513" s="1">
        <v>72316094000113</v>
      </c>
      <c r="D513" t="s">
        <v>2109</v>
      </c>
      <c r="E513" t="s">
        <v>2110</v>
      </c>
      <c r="F513" t="s">
        <v>7</v>
      </c>
      <c r="G513">
        <v>25953001</v>
      </c>
      <c r="H513" t="s">
        <v>2111</v>
      </c>
      <c r="I513" t="s">
        <v>2112</v>
      </c>
      <c r="J513" t="s">
        <v>56</v>
      </c>
      <c r="K513">
        <v>10</v>
      </c>
      <c r="L513">
        <v>18</v>
      </c>
      <c r="M513">
        <v>2034</v>
      </c>
      <c r="N513" t="s">
        <v>47</v>
      </c>
      <c r="O513" s="5">
        <f>DATE(Tabela1[[#This Row],[vigencia ano]],Tabela1[[#This Row],[vigencia mês]],Tabela1[[#This Row],[vigencia dia]])</f>
        <v>49470</v>
      </c>
    </row>
    <row r="514" spans="1:15" x14ac:dyDescent="0.25">
      <c r="A514" t="s">
        <v>41</v>
      </c>
      <c r="B514" t="s">
        <v>2113</v>
      </c>
      <c r="C514" s="1">
        <v>37367637000120</v>
      </c>
      <c r="D514" t="s">
        <v>2114</v>
      </c>
      <c r="E514" t="s">
        <v>2115</v>
      </c>
      <c r="F514" t="s">
        <v>7</v>
      </c>
      <c r="G514">
        <v>27213270</v>
      </c>
      <c r="H514" t="s">
        <v>2116</v>
      </c>
      <c r="I514" t="s">
        <v>2117</v>
      </c>
      <c r="J514" t="s">
        <v>56</v>
      </c>
      <c r="K514">
        <v>11</v>
      </c>
      <c r="L514">
        <v>1</v>
      </c>
      <c r="M514">
        <v>2033</v>
      </c>
      <c r="N514" t="s">
        <v>47</v>
      </c>
      <c r="O514" s="5">
        <f>DATE(Tabela1[[#This Row],[vigencia ano]],Tabela1[[#This Row],[vigencia mês]],Tabela1[[#This Row],[vigencia dia]])</f>
        <v>48590</v>
      </c>
    </row>
    <row r="515" spans="1:15" x14ac:dyDescent="0.25">
      <c r="A515" t="s">
        <v>41</v>
      </c>
      <c r="B515" t="s">
        <v>2118</v>
      </c>
      <c r="C515" s="1">
        <v>11441000000143</v>
      </c>
      <c r="D515" t="s">
        <v>2119</v>
      </c>
      <c r="E515" t="s">
        <v>2120</v>
      </c>
      <c r="F515" t="s">
        <v>4</v>
      </c>
      <c r="G515">
        <v>13607814</v>
      </c>
      <c r="H515" t="s">
        <v>2121</v>
      </c>
      <c r="I515" t="s">
        <v>2122</v>
      </c>
      <c r="J515" t="s">
        <v>56</v>
      </c>
      <c r="K515">
        <v>8</v>
      </c>
      <c r="L515">
        <v>20</v>
      </c>
      <c r="M515">
        <v>2031</v>
      </c>
      <c r="N515" t="s">
        <v>47</v>
      </c>
      <c r="O515" s="5">
        <f>DATE(Tabela1[[#This Row],[vigencia ano]],Tabela1[[#This Row],[vigencia mês]],Tabela1[[#This Row],[vigencia dia]])</f>
        <v>48434</v>
      </c>
    </row>
    <row r="516" spans="1:15" x14ac:dyDescent="0.25">
      <c r="A516" t="s">
        <v>41</v>
      </c>
      <c r="B516" t="s">
        <v>2123</v>
      </c>
      <c r="C516" s="1">
        <v>32240883000101</v>
      </c>
      <c r="D516" t="s">
        <v>2124</v>
      </c>
      <c r="E516" t="s">
        <v>2125</v>
      </c>
      <c r="F516" t="s">
        <v>4</v>
      </c>
      <c r="G516">
        <v>6460010</v>
      </c>
      <c r="H516" t="s">
        <v>2126</v>
      </c>
      <c r="I516" t="s">
        <v>2127</v>
      </c>
      <c r="J516" t="s">
        <v>56</v>
      </c>
      <c r="K516">
        <v>3</v>
      </c>
      <c r="L516">
        <v>11</v>
      </c>
      <c r="M516">
        <v>2031</v>
      </c>
      <c r="N516" t="s">
        <v>47</v>
      </c>
      <c r="O516" s="5">
        <f>DATE(Tabela1[[#This Row],[vigencia ano]],Tabela1[[#This Row],[vigencia mês]],Tabela1[[#This Row],[vigencia dia]])</f>
        <v>48155</v>
      </c>
    </row>
    <row r="517" spans="1:15" x14ac:dyDescent="0.25">
      <c r="A517" t="s">
        <v>41</v>
      </c>
      <c r="B517" t="s">
        <v>2128</v>
      </c>
      <c r="C517" s="1">
        <v>4416849000100</v>
      </c>
      <c r="D517" t="s">
        <v>2129</v>
      </c>
      <c r="E517" t="s">
        <v>2125</v>
      </c>
      <c r="F517" t="s">
        <v>4</v>
      </c>
      <c r="G517">
        <v>6454040</v>
      </c>
      <c r="H517" t="s">
        <v>2130</v>
      </c>
      <c r="I517" t="s">
        <v>2131</v>
      </c>
      <c r="J517" t="s">
        <v>56</v>
      </c>
      <c r="K517">
        <v>3</v>
      </c>
      <c r="L517">
        <v>12</v>
      </c>
      <c r="M517">
        <v>2025</v>
      </c>
      <c r="N517" t="s">
        <v>47</v>
      </c>
      <c r="O517" s="5">
        <f>DATE(Tabela1[[#This Row],[vigencia ano]],Tabela1[[#This Row],[vigencia mês]],Tabela1[[#This Row],[vigencia dia]])</f>
        <v>45994</v>
      </c>
    </row>
    <row r="518" spans="1:15" x14ac:dyDescent="0.25">
      <c r="A518" t="s">
        <v>41</v>
      </c>
      <c r="B518" t="s">
        <v>2132</v>
      </c>
      <c r="C518" s="1">
        <v>25209002000116</v>
      </c>
      <c r="D518" t="s">
        <v>2133</v>
      </c>
      <c r="E518" t="s">
        <v>2125</v>
      </c>
      <c r="F518" t="s">
        <v>4</v>
      </c>
      <c r="G518">
        <v>6454040</v>
      </c>
      <c r="H518" t="s">
        <v>2130</v>
      </c>
      <c r="I518" t="s">
        <v>2134</v>
      </c>
      <c r="J518" t="s">
        <v>56</v>
      </c>
      <c r="K518">
        <v>10</v>
      </c>
      <c r="L518">
        <v>19</v>
      </c>
      <c r="M518">
        <v>2026</v>
      </c>
      <c r="N518" t="s">
        <v>47</v>
      </c>
      <c r="O518" s="5">
        <f>DATE(Tabela1[[#This Row],[vigencia ano]],Tabela1[[#This Row],[vigencia mês]],Tabela1[[#This Row],[vigencia dia]])</f>
        <v>46578</v>
      </c>
    </row>
    <row r="519" spans="1:15" x14ac:dyDescent="0.25">
      <c r="A519" t="s">
        <v>41</v>
      </c>
      <c r="B519" t="s">
        <v>2135</v>
      </c>
      <c r="C519" s="1">
        <v>5332260000188</v>
      </c>
      <c r="D519" t="s">
        <v>2136</v>
      </c>
      <c r="E519" t="s">
        <v>2125</v>
      </c>
      <c r="F519" t="s">
        <v>4</v>
      </c>
      <c r="G519">
        <v>6463290</v>
      </c>
      <c r="H519" t="s">
        <v>1521</v>
      </c>
      <c r="I519" t="s">
        <v>2137</v>
      </c>
      <c r="J519" t="s">
        <v>46</v>
      </c>
      <c r="K519">
        <v>9</v>
      </c>
      <c r="L519">
        <v>20</v>
      </c>
      <c r="M519">
        <v>2033</v>
      </c>
      <c r="N519" t="s">
        <v>47</v>
      </c>
      <c r="O519" s="5">
        <f>DATE(Tabela1[[#This Row],[vigencia ano]],Tabela1[[#This Row],[vigencia mês]],Tabela1[[#This Row],[vigencia dia]])</f>
        <v>49165</v>
      </c>
    </row>
    <row r="520" spans="1:15" x14ac:dyDescent="0.25">
      <c r="A520" t="s">
        <v>41</v>
      </c>
      <c r="B520" t="s">
        <v>2138</v>
      </c>
      <c r="C520" s="1">
        <v>163083000130</v>
      </c>
      <c r="D520" t="s">
        <v>2139</v>
      </c>
      <c r="E520" t="s">
        <v>2125</v>
      </c>
      <c r="F520" t="s">
        <v>4</v>
      </c>
      <c r="G520">
        <v>6423080</v>
      </c>
      <c r="H520" t="s">
        <v>2140</v>
      </c>
      <c r="I520" t="s">
        <v>2141</v>
      </c>
      <c r="J520" t="s">
        <v>56</v>
      </c>
      <c r="K520">
        <v>1</v>
      </c>
      <c r="L520">
        <v>23</v>
      </c>
      <c r="M520">
        <v>2027</v>
      </c>
      <c r="N520" t="s">
        <v>47</v>
      </c>
      <c r="O520" s="5">
        <f>DATE(Tabela1[[#This Row],[vigencia ano]],Tabela1[[#This Row],[vigencia mês]],Tabela1[[#This Row],[vigencia dia]])</f>
        <v>47058</v>
      </c>
    </row>
    <row r="521" spans="1:15" x14ac:dyDescent="0.25">
      <c r="A521" t="s">
        <v>41</v>
      </c>
      <c r="B521" t="s">
        <v>2142</v>
      </c>
      <c r="C521" s="1">
        <v>1701615000108</v>
      </c>
      <c r="D521" t="s">
        <v>2143</v>
      </c>
      <c r="E521" t="s">
        <v>2125</v>
      </c>
      <c r="F521" t="s">
        <v>4</v>
      </c>
      <c r="G521">
        <v>6404301</v>
      </c>
      <c r="H521" t="s">
        <v>2144</v>
      </c>
      <c r="I521" t="s">
        <v>2145</v>
      </c>
      <c r="J521" t="s">
        <v>46</v>
      </c>
      <c r="K521">
        <v>4</v>
      </c>
      <c r="L521">
        <v>25</v>
      </c>
      <c r="M521">
        <v>2033</v>
      </c>
      <c r="N521" t="s">
        <v>47</v>
      </c>
      <c r="O521" s="5">
        <f>DATE(Tabela1[[#This Row],[vigencia ano]],Tabela1[[#This Row],[vigencia mês]],Tabela1[[#This Row],[vigencia dia]])</f>
        <v>49313</v>
      </c>
    </row>
    <row r="522" spans="1:15" x14ac:dyDescent="0.25">
      <c r="A522" t="s">
        <v>41</v>
      </c>
      <c r="B522" t="s">
        <v>2146</v>
      </c>
      <c r="C522" s="1">
        <v>24875190000159</v>
      </c>
      <c r="D522" t="s">
        <v>2147</v>
      </c>
      <c r="E522" t="s">
        <v>2125</v>
      </c>
      <c r="F522" t="s">
        <v>4</v>
      </c>
      <c r="G522">
        <v>6473000</v>
      </c>
      <c r="H522" t="s">
        <v>2148</v>
      </c>
      <c r="I522" t="s">
        <v>2149</v>
      </c>
      <c r="J522" t="s">
        <v>56</v>
      </c>
      <c r="K522">
        <v>5</v>
      </c>
      <c r="L522">
        <v>18</v>
      </c>
      <c r="M522">
        <v>2032</v>
      </c>
      <c r="N522" t="s">
        <v>47</v>
      </c>
      <c r="O522" s="5">
        <f>DATE(Tabela1[[#This Row],[vigencia ano]],Tabela1[[#This Row],[vigencia mês]],Tabela1[[#This Row],[vigencia dia]])</f>
        <v>48735</v>
      </c>
    </row>
    <row r="523" spans="1:15" x14ac:dyDescent="0.25">
      <c r="A523" t="s">
        <v>41</v>
      </c>
      <c r="B523" t="s">
        <v>2150</v>
      </c>
      <c r="C523" s="1">
        <v>60526977000179</v>
      </c>
      <c r="D523" t="s">
        <v>2151</v>
      </c>
      <c r="E523" t="s">
        <v>2125</v>
      </c>
      <c r="F523" t="s">
        <v>4</v>
      </c>
      <c r="G523">
        <v>6460000</v>
      </c>
      <c r="H523" t="s">
        <v>2152</v>
      </c>
      <c r="I523" t="s">
        <v>2153</v>
      </c>
      <c r="J523" t="s">
        <v>56</v>
      </c>
      <c r="K523">
        <v>3</v>
      </c>
      <c r="L523">
        <v>29</v>
      </c>
      <c r="M523">
        <v>2028</v>
      </c>
      <c r="N523" t="s">
        <v>47</v>
      </c>
      <c r="O523" s="5">
        <f>DATE(Tabela1[[#This Row],[vigencia ano]],Tabela1[[#This Row],[vigencia mês]],Tabela1[[#This Row],[vigencia dia]])</f>
        <v>47606</v>
      </c>
    </row>
    <row r="524" spans="1:15" x14ac:dyDescent="0.25">
      <c r="A524" t="s">
        <v>41</v>
      </c>
      <c r="B524" t="s">
        <v>2154</v>
      </c>
      <c r="C524" s="1">
        <v>12055845000163</v>
      </c>
      <c r="D524" t="s">
        <v>2155</v>
      </c>
      <c r="E524" t="s">
        <v>2125</v>
      </c>
      <c r="F524" t="s">
        <v>4</v>
      </c>
      <c r="G524">
        <v>6404301</v>
      </c>
      <c r="H524" t="s">
        <v>2156</v>
      </c>
      <c r="I524" t="s">
        <v>2157</v>
      </c>
      <c r="J524" t="s">
        <v>56</v>
      </c>
      <c r="K524">
        <v>10</v>
      </c>
      <c r="L524">
        <v>19</v>
      </c>
      <c r="M524">
        <v>2026</v>
      </c>
      <c r="N524" t="s">
        <v>47</v>
      </c>
      <c r="O524" s="5">
        <f>DATE(Tabela1[[#This Row],[vigencia ano]],Tabela1[[#This Row],[vigencia mês]],Tabela1[[#This Row],[vigencia dia]])</f>
        <v>46578</v>
      </c>
    </row>
    <row r="525" spans="1:15" x14ac:dyDescent="0.25">
      <c r="A525" t="s">
        <v>41</v>
      </c>
      <c r="B525" t="s">
        <v>2158</v>
      </c>
      <c r="C525" s="1">
        <v>29081265000143</v>
      </c>
      <c r="D525" t="s">
        <v>2159</v>
      </c>
      <c r="E525" t="s">
        <v>2125</v>
      </c>
      <c r="F525" t="s">
        <v>4</v>
      </c>
      <c r="G525">
        <v>6455020</v>
      </c>
      <c r="H525" t="s">
        <v>2160</v>
      </c>
      <c r="I525" t="s">
        <v>2161</v>
      </c>
      <c r="J525" t="s">
        <v>56</v>
      </c>
      <c r="K525">
        <v>1</v>
      </c>
      <c r="L525">
        <v>13</v>
      </c>
      <c r="M525">
        <v>2031</v>
      </c>
      <c r="N525" t="s">
        <v>47</v>
      </c>
      <c r="O525" s="5">
        <f>DATE(Tabela1[[#This Row],[vigencia ano]],Tabela1[[#This Row],[vigencia mês]],Tabela1[[#This Row],[vigencia dia]])</f>
        <v>48214</v>
      </c>
    </row>
    <row r="526" spans="1:15" x14ac:dyDescent="0.25">
      <c r="A526" t="s">
        <v>41</v>
      </c>
      <c r="B526" t="s">
        <v>2162</v>
      </c>
      <c r="C526" s="1">
        <v>11964184000126</v>
      </c>
      <c r="D526" t="s">
        <v>2163</v>
      </c>
      <c r="E526" t="s">
        <v>2125</v>
      </c>
      <c r="F526" t="s">
        <v>4</v>
      </c>
      <c r="G526">
        <v>6455000</v>
      </c>
      <c r="H526" t="s">
        <v>2164</v>
      </c>
      <c r="I526" t="s">
        <v>2165</v>
      </c>
      <c r="J526" t="s">
        <v>56</v>
      </c>
      <c r="K526">
        <v>8</v>
      </c>
      <c r="L526">
        <v>31</v>
      </c>
      <c r="M526">
        <v>2027</v>
      </c>
      <c r="N526" t="s">
        <v>47</v>
      </c>
      <c r="O526" s="5">
        <f>DATE(Tabela1[[#This Row],[vigencia ano]],Tabela1[[#This Row],[vigencia mês]],Tabela1[[#This Row],[vigencia dia]])</f>
        <v>47307</v>
      </c>
    </row>
    <row r="527" spans="1:15" x14ac:dyDescent="0.25">
      <c r="A527" t="s">
        <v>41</v>
      </c>
      <c r="B527" t="s">
        <v>2166</v>
      </c>
      <c r="C527" s="1">
        <v>12065639000134</v>
      </c>
      <c r="D527" t="s">
        <v>2167</v>
      </c>
      <c r="E527" t="s">
        <v>2125</v>
      </c>
      <c r="F527" t="s">
        <v>4</v>
      </c>
      <c r="G527">
        <v>6465070</v>
      </c>
      <c r="H527" t="s">
        <v>2168</v>
      </c>
      <c r="I527" t="s">
        <v>2169</v>
      </c>
      <c r="J527" t="s">
        <v>56</v>
      </c>
      <c r="K527">
        <v>8</v>
      </c>
      <c r="L527">
        <v>8</v>
      </c>
      <c r="M527">
        <v>2023</v>
      </c>
      <c r="N527" t="s">
        <v>47</v>
      </c>
      <c r="O527" s="5">
        <f>DATE(Tabela1[[#This Row],[vigencia ano]],Tabela1[[#This Row],[vigencia mês]],Tabela1[[#This Row],[vigencia dia]])</f>
        <v>45146</v>
      </c>
    </row>
    <row r="528" spans="1:15" x14ac:dyDescent="0.25">
      <c r="A528" t="s">
        <v>41</v>
      </c>
      <c r="B528" t="s">
        <v>2170</v>
      </c>
      <c r="C528" s="1">
        <v>3022122000177</v>
      </c>
      <c r="D528" t="s">
        <v>2171</v>
      </c>
      <c r="E528" t="s">
        <v>2125</v>
      </c>
      <c r="F528" t="s">
        <v>4</v>
      </c>
      <c r="G528">
        <v>6465134</v>
      </c>
      <c r="H528" t="s">
        <v>2172</v>
      </c>
      <c r="I528" t="s">
        <v>2173</v>
      </c>
      <c r="J528" t="s">
        <v>56</v>
      </c>
      <c r="K528">
        <v>7</v>
      </c>
      <c r="L528">
        <v>17</v>
      </c>
      <c r="M528">
        <v>2034</v>
      </c>
      <c r="N528" t="s">
        <v>47</v>
      </c>
      <c r="O528" s="5">
        <f>DATE(Tabela1[[#This Row],[vigencia ano]],Tabela1[[#This Row],[vigencia mês]],Tabela1[[#This Row],[vigencia dia]])</f>
        <v>49436</v>
      </c>
    </row>
    <row r="529" spans="1:15" x14ac:dyDescent="0.25">
      <c r="A529" t="s">
        <v>41</v>
      </c>
      <c r="B529" t="s">
        <v>2174</v>
      </c>
      <c r="C529" s="1">
        <v>27641439000150</v>
      </c>
      <c r="D529" t="s">
        <v>2175</v>
      </c>
      <c r="E529" t="s">
        <v>2125</v>
      </c>
      <c r="F529" t="s">
        <v>4</v>
      </c>
      <c r="G529">
        <v>6473000</v>
      </c>
      <c r="H529" t="s">
        <v>2176</v>
      </c>
      <c r="I529" t="s">
        <v>2177</v>
      </c>
      <c r="J529" t="s">
        <v>56</v>
      </c>
      <c r="K529">
        <v>12</v>
      </c>
      <c r="L529">
        <v>2</v>
      </c>
      <c r="M529">
        <v>2031</v>
      </c>
      <c r="N529" t="s">
        <v>47</v>
      </c>
      <c r="O529" s="5">
        <f>DATE(Tabela1[[#This Row],[vigencia ano]],Tabela1[[#This Row],[vigencia mês]],Tabela1[[#This Row],[vigencia dia]])</f>
        <v>47891</v>
      </c>
    </row>
    <row r="530" spans="1:15" x14ac:dyDescent="0.25">
      <c r="A530" t="s">
        <v>41</v>
      </c>
      <c r="B530" t="s">
        <v>2178</v>
      </c>
      <c r="C530" s="1">
        <v>6980816000105</v>
      </c>
      <c r="D530" t="s">
        <v>2179</v>
      </c>
      <c r="E530" t="s">
        <v>2125</v>
      </c>
      <c r="F530" t="s">
        <v>4</v>
      </c>
      <c r="G530">
        <v>6455020</v>
      </c>
      <c r="H530" t="s">
        <v>2180</v>
      </c>
      <c r="I530" t="s">
        <v>2181</v>
      </c>
      <c r="J530" t="s">
        <v>56</v>
      </c>
      <c r="K530">
        <v>12</v>
      </c>
      <c r="L530">
        <v>12</v>
      </c>
      <c r="M530">
        <v>2026</v>
      </c>
      <c r="N530" t="s">
        <v>47</v>
      </c>
      <c r="O530" s="5">
        <f>DATE(Tabela1[[#This Row],[vigencia ano]],Tabela1[[#This Row],[vigencia mês]],Tabela1[[#This Row],[vigencia dia]])</f>
        <v>46368</v>
      </c>
    </row>
    <row r="531" spans="1:15" x14ac:dyDescent="0.25">
      <c r="A531" t="s">
        <v>41</v>
      </c>
      <c r="B531" t="s">
        <v>2178</v>
      </c>
      <c r="C531" s="1">
        <v>6980816000105</v>
      </c>
      <c r="D531" t="s">
        <v>2179</v>
      </c>
      <c r="E531" t="s">
        <v>2125</v>
      </c>
      <c r="F531" t="s">
        <v>4</v>
      </c>
      <c r="G531">
        <v>6455020</v>
      </c>
      <c r="H531" t="s">
        <v>2182</v>
      </c>
      <c r="I531" t="s">
        <v>2181</v>
      </c>
      <c r="J531" t="s">
        <v>56</v>
      </c>
      <c r="K531">
        <v>12</v>
      </c>
      <c r="L531">
        <v>12</v>
      </c>
      <c r="M531">
        <v>2026</v>
      </c>
      <c r="N531" t="s">
        <v>47</v>
      </c>
      <c r="O531" s="5">
        <f>DATE(Tabela1[[#This Row],[vigencia ano]],Tabela1[[#This Row],[vigencia mês]],Tabela1[[#This Row],[vigencia dia]])</f>
        <v>46368</v>
      </c>
    </row>
    <row r="532" spans="1:15" x14ac:dyDescent="0.25">
      <c r="A532" t="s">
        <v>41</v>
      </c>
      <c r="B532" t="s">
        <v>2183</v>
      </c>
      <c r="C532" s="1">
        <v>21557195000145</v>
      </c>
      <c r="D532" t="s">
        <v>2184</v>
      </c>
      <c r="E532" t="s">
        <v>2125</v>
      </c>
      <c r="F532" t="s">
        <v>4</v>
      </c>
      <c r="G532">
        <v>6454040</v>
      </c>
      <c r="H532" t="s">
        <v>2185</v>
      </c>
      <c r="I532" t="s">
        <v>2186</v>
      </c>
      <c r="J532" t="s">
        <v>56</v>
      </c>
      <c r="K532">
        <v>10</v>
      </c>
      <c r="L532">
        <v>7</v>
      </c>
      <c r="M532">
        <v>2032</v>
      </c>
      <c r="N532" t="s">
        <v>47</v>
      </c>
      <c r="O532" s="5">
        <f>DATE(Tabela1[[#This Row],[vigencia ano]],Tabela1[[#This Row],[vigencia mês]],Tabela1[[#This Row],[vigencia dia]])</f>
        <v>48405</v>
      </c>
    </row>
    <row r="533" spans="1:15" x14ac:dyDescent="0.25">
      <c r="A533" t="s">
        <v>41</v>
      </c>
      <c r="B533" t="s">
        <v>2187</v>
      </c>
      <c r="C533" s="1">
        <v>3887831000115</v>
      </c>
      <c r="D533" t="s">
        <v>2188</v>
      </c>
      <c r="E533" t="s">
        <v>2125</v>
      </c>
      <c r="F533" t="s">
        <v>4</v>
      </c>
      <c r="G533">
        <v>6453046</v>
      </c>
      <c r="H533" t="s">
        <v>2189</v>
      </c>
      <c r="I533" t="s">
        <v>2190</v>
      </c>
      <c r="J533" t="s">
        <v>46</v>
      </c>
      <c r="K533">
        <v>7</v>
      </c>
      <c r="L533">
        <v>9</v>
      </c>
      <c r="M533">
        <v>2025</v>
      </c>
      <c r="N533" t="s">
        <v>47</v>
      </c>
      <c r="O533" s="5">
        <f>DATE(Tabela1[[#This Row],[vigencia ano]],Tabela1[[#This Row],[vigencia mês]],Tabela1[[#This Row],[vigencia dia]])</f>
        <v>45907</v>
      </c>
    </row>
    <row r="534" spans="1:15" x14ac:dyDescent="0.25">
      <c r="A534" t="s">
        <v>41</v>
      </c>
      <c r="B534" t="s">
        <v>2191</v>
      </c>
      <c r="C534" s="1">
        <v>4757830000119</v>
      </c>
      <c r="D534" t="s">
        <v>2192</v>
      </c>
      <c r="E534" t="s">
        <v>2125</v>
      </c>
      <c r="F534" t="s">
        <v>4</v>
      </c>
      <c r="G534">
        <v>6455931</v>
      </c>
      <c r="H534" t="s">
        <v>2193</v>
      </c>
      <c r="I534" t="s">
        <v>2194</v>
      </c>
      <c r="J534" t="s">
        <v>56</v>
      </c>
      <c r="K534">
        <v>8</v>
      </c>
      <c r="L534">
        <v>21</v>
      </c>
      <c r="M534">
        <v>2028</v>
      </c>
      <c r="N534" t="s">
        <v>47</v>
      </c>
      <c r="O534" s="5">
        <f>DATE(Tabela1[[#This Row],[vigencia ano]],Tabela1[[#This Row],[vigencia mês]],Tabela1[[#This Row],[vigencia dia]])</f>
        <v>47369</v>
      </c>
    </row>
    <row r="535" spans="1:15" x14ac:dyDescent="0.25">
      <c r="A535" t="s">
        <v>41</v>
      </c>
      <c r="B535" t="s">
        <v>2195</v>
      </c>
      <c r="C535" s="1">
        <v>3147206000137</v>
      </c>
      <c r="D535" t="s">
        <v>2196</v>
      </c>
      <c r="E535" t="s">
        <v>2125</v>
      </c>
      <c r="F535" t="s">
        <v>4</v>
      </c>
      <c r="G535">
        <v>6460200</v>
      </c>
      <c r="H535" t="s">
        <v>2197</v>
      </c>
      <c r="I535" t="s">
        <v>2198</v>
      </c>
      <c r="J535" t="s">
        <v>56</v>
      </c>
      <c r="K535">
        <v>2</v>
      </c>
      <c r="L535">
        <v>12</v>
      </c>
      <c r="M535">
        <v>2029</v>
      </c>
      <c r="N535" t="s">
        <v>47</v>
      </c>
      <c r="O535" s="5">
        <f>DATE(Tabela1[[#This Row],[vigencia ano]],Tabela1[[#This Row],[vigencia mês]],Tabela1[[#This Row],[vigencia dia]])</f>
        <v>47454</v>
      </c>
    </row>
    <row r="536" spans="1:15" x14ac:dyDescent="0.25">
      <c r="A536" t="s">
        <v>41</v>
      </c>
      <c r="B536" t="s">
        <v>2199</v>
      </c>
      <c r="C536" s="1">
        <v>40401858000182</v>
      </c>
      <c r="D536" t="s">
        <v>2200</v>
      </c>
      <c r="E536" t="s">
        <v>2125</v>
      </c>
      <c r="F536" t="s">
        <v>4</v>
      </c>
      <c r="G536">
        <v>6406010</v>
      </c>
      <c r="H536" t="s">
        <v>2201</v>
      </c>
      <c r="I536" t="s">
        <v>2202</v>
      </c>
      <c r="J536" t="s">
        <v>56</v>
      </c>
      <c r="K536">
        <v>4</v>
      </c>
      <c r="L536">
        <v>20</v>
      </c>
      <c r="M536">
        <v>2032</v>
      </c>
      <c r="N536" t="s">
        <v>47</v>
      </c>
      <c r="O536" s="5">
        <f>DATE(Tabela1[[#This Row],[vigencia ano]],Tabela1[[#This Row],[vigencia mês]],Tabela1[[#This Row],[vigencia dia]])</f>
        <v>48795</v>
      </c>
    </row>
    <row r="537" spans="1:15" x14ac:dyDescent="0.25">
      <c r="A537" t="s">
        <v>41</v>
      </c>
      <c r="B537" t="s">
        <v>2203</v>
      </c>
      <c r="C537" s="1">
        <v>73939449000193</v>
      </c>
      <c r="D537" t="s">
        <v>2204</v>
      </c>
      <c r="E537" t="s">
        <v>2125</v>
      </c>
      <c r="F537" t="s">
        <v>4</v>
      </c>
      <c r="G537">
        <v>6460030</v>
      </c>
      <c r="H537" t="s">
        <v>2205</v>
      </c>
      <c r="I537" t="s">
        <v>2206</v>
      </c>
      <c r="J537" t="s">
        <v>46</v>
      </c>
      <c r="K537">
        <v>7</v>
      </c>
      <c r="L537">
        <v>30</v>
      </c>
      <c r="M537">
        <v>2030</v>
      </c>
      <c r="N537" t="s">
        <v>47</v>
      </c>
      <c r="O537" s="5">
        <f>DATE(Tabela1[[#This Row],[vigencia ano]],Tabela1[[#This Row],[vigencia mês]],Tabela1[[#This Row],[vigencia dia]])</f>
        <v>48372</v>
      </c>
    </row>
    <row r="538" spans="1:15" x14ac:dyDescent="0.25">
      <c r="A538" t="s">
        <v>41</v>
      </c>
      <c r="B538" t="s">
        <v>2207</v>
      </c>
      <c r="C538" s="1">
        <v>7312223000133</v>
      </c>
      <c r="D538" t="s">
        <v>2208</v>
      </c>
      <c r="E538" t="s">
        <v>2125</v>
      </c>
      <c r="F538" t="s">
        <v>4</v>
      </c>
      <c r="G538">
        <v>6460010</v>
      </c>
      <c r="H538" t="s">
        <v>2209</v>
      </c>
      <c r="I538" t="s">
        <v>2210</v>
      </c>
      <c r="J538" t="s">
        <v>56</v>
      </c>
      <c r="K538">
        <v>10</v>
      </c>
      <c r="L538">
        <v>3</v>
      </c>
      <c r="M538">
        <v>2027</v>
      </c>
      <c r="N538" t="s">
        <v>47</v>
      </c>
      <c r="O538" s="5">
        <f>DATE(Tabela1[[#This Row],[vigencia ano]],Tabela1[[#This Row],[vigencia mês]],Tabela1[[#This Row],[vigencia dia]])</f>
        <v>46456</v>
      </c>
    </row>
    <row r="539" spans="1:15" x14ac:dyDescent="0.25">
      <c r="A539" t="s">
        <v>41</v>
      </c>
      <c r="B539" t="s">
        <v>2207</v>
      </c>
      <c r="C539" s="1">
        <v>7312223000133</v>
      </c>
      <c r="D539" t="s">
        <v>2208</v>
      </c>
      <c r="E539" t="s">
        <v>2125</v>
      </c>
      <c r="F539" t="s">
        <v>4</v>
      </c>
      <c r="G539">
        <v>6460010</v>
      </c>
      <c r="H539" t="s">
        <v>2211</v>
      </c>
      <c r="I539" t="s">
        <v>2210</v>
      </c>
      <c r="J539" t="s">
        <v>56</v>
      </c>
      <c r="K539">
        <v>10</v>
      </c>
      <c r="L539">
        <v>3</v>
      </c>
      <c r="M539">
        <v>2027</v>
      </c>
      <c r="N539" t="s">
        <v>47</v>
      </c>
      <c r="O539" s="5">
        <f>DATE(Tabela1[[#This Row],[vigencia ano]],Tabela1[[#This Row],[vigencia mês]],Tabela1[[#This Row],[vigencia dia]])</f>
        <v>46456</v>
      </c>
    </row>
    <row r="540" spans="1:15" x14ac:dyDescent="0.25">
      <c r="A540" t="s">
        <v>41</v>
      </c>
      <c r="B540" t="s">
        <v>2212</v>
      </c>
      <c r="C540" s="1">
        <v>24303324000167</v>
      </c>
      <c r="D540" t="s">
        <v>2213</v>
      </c>
      <c r="E540" t="s">
        <v>2125</v>
      </c>
      <c r="F540" t="s">
        <v>4</v>
      </c>
      <c r="G540">
        <v>6460010</v>
      </c>
      <c r="H540" t="s">
        <v>2126</v>
      </c>
      <c r="I540" t="s">
        <v>2214</v>
      </c>
      <c r="J540" t="s">
        <v>56</v>
      </c>
      <c r="K540">
        <v>5</v>
      </c>
      <c r="L540">
        <v>24</v>
      </c>
      <c r="M540">
        <v>2031</v>
      </c>
      <c r="N540" t="s">
        <v>47</v>
      </c>
      <c r="O540" s="5">
        <f>DATE(Tabela1[[#This Row],[vigencia ano]],Tabela1[[#This Row],[vigencia mês]],Tabela1[[#This Row],[vigencia dia]])</f>
        <v>48553</v>
      </c>
    </row>
    <row r="541" spans="1:15" x14ac:dyDescent="0.25">
      <c r="A541" t="s">
        <v>41</v>
      </c>
      <c r="B541" t="s">
        <v>2215</v>
      </c>
      <c r="C541" s="1">
        <v>13655202000113</v>
      </c>
      <c r="D541" t="s">
        <v>2216</v>
      </c>
      <c r="E541" t="s">
        <v>2125</v>
      </c>
      <c r="F541" t="s">
        <v>4</v>
      </c>
      <c r="G541">
        <v>6460040</v>
      </c>
      <c r="H541" t="s">
        <v>2217</v>
      </c>
      <c r="I541" t="s">
        <v>2218</v>
      </c>
      <c r="J541" t="s">
        <v>56</v>
      </c>
      <c r="K541">
        <v>3</v>
      </c>
      <c r="L541">
        <v>8</v>
      </c>
      <c r="M541">
        <v>2023</v>
      </c>
      <c r="N541" t="s">
        <v>47</v>
      </c>
      <c r="O541" s="5">
        <f>DATE(Tabela1[[#This Row],[vigencia ano]],Tabela1[[#This Row],[vigencia mês]],Tabela1[[#This Row],[vigencia dia]])</f>
        <v>45141</v>
      </c>
    </row>
    <row r="542" spans="1:15" x14ac:dyDescent="0.25">
      <c r="A542" t="s">
        <v>41</v>
      </c>
      <c r="B542" t="s">
        <v>2219</v>
      </c>
      <c r="C542" s="1">
        <v>11441387000138</v>
      </c>
      <c r="D542" t="s">
        <v>2220</v>
      </c>
      <c r="E542" t="s">
        <v>2125</v>
      </c>
      <c r="F542" t="s">
        <v>4</v>
      </c>
      <c r="G542">
        <v>6460055</v>
      </c>
      <c r="H542" t="s">
        <v>2221</v>
      </c>
      <c r="I542" t="s">
        <v>2222</v>
      </c>
      <c r="J542" t="s">
        <v>56</v>
      </c>
      <c r="K542">
        <v>12</v>
      </c>
      <c r="L542">
        <v>30</v>
      </c>
      <c r="M542">
        <v>2034</v>
      </c>
      <c r="N542" t="s">
        <v>47</v>
      </c>
      <c r="O542" s="5">
        <f>DATE(Tabela1[[#This Row],[vigencia ano]],Tabela1[[#This Row],[vigencia mês]],Tabela1[[#This Row],[vigencia dia]])</f>
        <v>49838</v>
      </c>
    </row>
    <row r="543" spans="1:15" x14ac:dyDescent="0.25">
      <c r="A543" t="s">
        <v>41</v>
      </c>
      <c r="B543" t="s">
        <v>2223</v>
      </c>
      <c r="C543" s="1">
        <v>58818022000143</v>
      </c>
      <c r="D543" t="s">
        <v>2224</v>
      </c>
      <c r="E543" t="s">
        <v>2125</v>
      </c>
      <c r="F543" t="s">
        <v>4</v>
      </c>
      <c r="G543">
        <v>6455030</v>
      </c>
      <c r="H543" t="s">
        <v>2225</v>
      </c>
      <c r="I543" t="s">
        <v>2226</v>
      </c>
      <c r="J543" t="s">
        <v>56</v>
      </c>
      <c r="K543">
        <v>6</v>
      </c>
      <c r="L543">
        <v>20</v>
      </c>
      <c r="M543">
        <v>2027</v>
      </c>
      <c r="N543" t="s">
        <v>47</v>
      </c>
      <c r="O543" s="5">
        <f>DATE(Tabela1[[#This Row],[vigencia ano]],Tabela1[[#This Row],[vigencia mês]],Tabela1[[#This Row],[vigencia dia]])</f>
        <v>46971</v>
      </c>
    </row>
    <row r="544" spans="1:15" x14ac:dyDescent="0.25">
      <c r="A544" t="s">
        <v>41</v>
      </c>
      <c r="B544" t="s">
        <v>2227</v>
      </c>
      <c r="C544" s="1">
        <v>48900493000142</v>
      </c>
      <c r="D544" t="s">
        <v>2228</v>
      </c>
      <c r="E544" t="s">
        <v>2125</v>
      </c>
      <c r="F544" t="s">
        <v>4</v>
      </c>
      <c r="G544">
        <v>6401147</v>
      </c>
      <c r="H544" t="s">
        <v>2229</v>
      </c>
      <c r="I544" t="s">
        <v>2230</v>
      </c>
      <c r="J544" t="s">
        <v>56</v>
      </c>
      <c r="K544">
        <v>12</v>
      </c>
      <c r="L544">
        <v>19</v>
      </c>
      <c r="M544">
        <v>2035</v>
      </c>
      <c r="N544" t="s">
        <v>2231</v>
      </c>
      <c r="O544" s="5">
        <f>DATE(Tabela1[[#This Row],[vigencia ano]],Tabela1[[#This Row],[vigencia mês]],Tabela1[[#This Row],[vigencia dia]])</f>
        <v>49868</v>
      </c>
    </row>
    <row r="545" spans="1:15" x14ac:dyDescent="0.25">
      <c r="A545" t="s">
        <v>41</v>
      </c>
      <c r="B545" t="s">
        <v>2232</v>
      </c>
      <c r="C545" s="1">
        <v>44159855000135</v>
      </c>
      <c r="D545" t="s">
        <v>2233</v>
      </c>
      <c r="E545" t="s">
        <v>2125</v>
      </c>
      <c r="F545" t="s">
        <v>4</v>
      </c>
      <c r="G545">
        <v>6454000</v>
      </c>
      <c r="H545" t="s">
        <v>2234</v>
      </c>
      <c r="I545" t="s">
        <v>2235</v>
      </c>
      <c r="J545" t="s">
        <v>56</v>
      </c>
      <c r="K545">
        <v>6</v>
      </c>
      <c r="L545">
        <v>25</v>
      </c>
      <c r="M545">
        <v>2034</v>
      </c>
      <c r="N545" t="s">
        <v>47</v>
      </c>
      <c r="O545" s="5">
        <f>DATE(Tabela1[[#This Row],[vigencia ano]],Tabela1[[#This Row],[vigencia mês]],Tabela1[[#This Row],[vigencia dia]])</f>
        <v>49680</v>
      </c>
    </row>
    <row r="546" spans="1:15" x14ac:dyDescent="0.25">
      <c r="A546" t="s">
        <v>41</v>
      </c>
      <c r="B546" t="s">
        <v>2232</v>
      </c>
      <c r="C546" s="1">
        <v>44159855000135</v>
      </c>
      <c r="D546" t="s">
        <v>2233</v>
      </c>
      <c r="E546" t="s">
        <v>2125</v>
      </c>
      <c r="F546" t="s">
        <v>4</v>
      </c>
      <c r="G546">
        <v>6454000</v>
      </c>
      <c r="H546" t="s">
        <v>2236</v>
      </c>
      <c r="I546" t="s">
        <v>2235</v>
      </c>
      <c r="J546" t="s">
        <v>56</v>
      </c>
      <c r="K546">
        <v>6</v>
      </c>
      <c r="L546">
        <v>25</v>
      </c>
      <c r="M546">
        <v>2034</v>
      </c>
      <c r="N546" t="s">
        <v>47</v>
      </c>
      <c r="O546" s="5">
        <f>DATE(Tabela1[[#This Row],[vigencia ano]],Tabela1[[#This Row],[vigencia mês]],Tabela1[[#This Row],[vigencia dia]])</f>
        <v>49680</v>
      </c>
    </row>
    <row r="547" spans="1:15" x14ac:dyDescent="0.25">
      <c r="A547" t="s">
        <v>41</v>
      </c>
      <c r="B547" t="s">
        <v>2237</v>
      </c>
      <c r="C547" s="1">
        <v>24315867000102</v>
      </c>
      <c r="D547" t="s">
        <v>2238</v>
      </c>
      <c r="E547" t="s">
        <v>2239</v>
      </c>
      <c r="F547" t="s">
        <v>4</v>
      </c>
      <c r="G547">
        <v>18555225</v>
      </c>
      <c r="H547" t="s">
        <v>2240</v>
      </c>
      <c r="I547" t="s">
        <v>2241</v>
      </c>
      <c r="J547" t="s">
        <v>56</v>
      </c>
      <c r="K547">
        <v>10</v>
      </c>
      <c r="L547">
        <v>31</v>
      </c>
      <c r="M547">
        <v>2035</v>
      </c>
      <c r="N547" t="s">
        <v>2242</v>
      </c>
      <c r="O547" s="5">
        <f>DATE(Tabela1[[#This Row],[vigencia ano]],Tabela1[[#This Row],[vigencia mês]],Tabela1[[#This Row],[vigencia dia]])</f>
        <v>50231</v>
      </c>
    </row>
    <row r="548" spans="1:15" x14ac:dyDescent="0.25">
      <c r="A548" t="s">
        <v>41</v>
      </c>
      <c r="B548" t="s">
        <v>2243</v>
      </c>
      <c r="C548" s="1">
        <v>10761431000124</v>
      </c>
      <c r="D548" t="s">
        <v>2244</v>
      </c>
      <c r="E548" t="s">
        <v>2245</v>
      </c>
      <c r="F548" t="s">
        <v>4</v>
      </c>
      <c r="G548">
        <v>18605525</v>
      </c>
      <c r="H548" t="s">
        <v>2246</v>
      </c>
      <c r="I548" t="s">
        <v>2247</v>
      </c>
      <c r="J548" t="s">
        <v>56</v>
      </c>
      <c r="K548">
        <v>8</v>
      </c>
      <c r="L548">
        <v>31</v>
      </c>
      <c r="M548">
        <v>2033</v>
      </c>
      <c r="N548" t="s">
        <v>47</v>
      </c>
      <c r="O548" s="5">
        <f>DATE(Tabela1[[#This Row],[vigencia ano]],Tabela1[[#This Row],[vigencia mês]],Tabela1[[#This Row],[vigencia dia]])</f>
        <v>49498</v>
      </c>
    </row>
    <row r="549" spans="1:15" x14ac:dyDescent="0.25">
      <c r="A549" t="s">
        <v>41</v>
      </c>
      <c r="B549" t="s">
        <v>2248</v>
      </c>
      <c r="C549" s="1">
        <v>9070606000178</v>
      </c>
      <c r="D549" t="s">
        <v>2249</v>
      </c>
      <c r="E549" t="s">
        <v>2250</v>
      </c>
      <c r="F549" t="s">
        <v>4</v>
      </c>
      <c r="G549">
        <v>7747150</v>
      </c>
      <c r="H549" t="s">
        <v>2251</v>
      </c>
      <c r="I549" t="s">
        <v>2252</v>
      </c>
      <c r="J549" t="s">
        <v>56</v>
      </c>
      <c r="K549">
        <v>12</v>
      </c>
      <c r="L549">
        <v>16</v>
      </c>
      <c r="M549">
        <v>2030</v>
      </c>
      <c r="N549" t="s">
        <v>47</v>
      </c>
      <c r="O549" s="5">
        <f>DATE(Tabela1[[#This Row],[vigencia ano]],Tabela1[[#This Row],[vigencia mês]],Tabela1[[#This Row],[vigencia dia]])</f>
        <v>47950</v>
      </c>
    </row>
    <row r="550" spans="1:15" x14ac:dyDescent="0.25">
      <c r="A550" t="s">
        <v>41</v>
      </c>
      <c r="B550" t="s">
        <v>2253</v>
      </c>
      <c r="C550" s="1">
        <v>12698756000135</v>
      </c>
      <c r="D550" t="s">
        <v>2254</v>
      </c>
      <c r="E550" t="s">
        <v>2250</v>
      </c>
      <c r="F550" t="s">
        <v>4</v>
      </c>
      <c r="G550">
        <v>7747050</v>
      </c>
      <c r="H550" t="s">
        <v>2255</v>
      </c>
      <c r="I550" t="s">
        <v>2256</v>
      </c>
      <c r="J550" t="s">
        <v>56</v>
      </c>
      <c r="K550">
        <v>10</v>
      </c>
      <c r="L550">
        <v>10</v>
      </c>
      <c r="M550">
        <v>2026</v>
      </c>
      <c r="N550" t="s">
        <v>47</v>
      </c>
      <c r="O550" s="5">
        <f>DATE(Tabela1[[#This Row],[vigencia ano]],Tabela1[[#This Row],[vigencia mês]],Tabela1[[#This Row],[vigencia dia]])</f>
        <v>46305</v>
      </c>
    </row>
    <row r="551" spans="1:15" x14ac:dyDescent="0.25">
      <c r="A551" t="s">
        <v>41</v>
      </c>
      <c r="B551" t="s">
        <v>2257</v>
      </c>
      <c r="C551" s="1">
        <v>41602496000150</v>
      </c>
      <c r="D551" t="s">
        <v>2258</v>
      </c>
      <c r="E551" t="s">
        <v>2259</v>
      </c>
      <c r="F551" t="s">
        <v>4</v>
      </c>
      <c r="G551">
        <v>7789100</v>
      </c>
      <c r="H551" t="s">
        <v>2260</v>
      </c>
      <c r="I551" t="s">
        <v>2261</v>
      </c>
      <c r="J551" t="s">
        <v>56</v>
      </c>
      <c r="K551">
        <v>4</v>
      </c>
      <c r="L551">
        <v>20</v>
      </c>
      <c r="M551">
        <v>2032</v>
      </c>
      <c r="N551" t="s">
        <v>47</v>
      </c>
      <c r="O551" s="5">
        <f>DATE(Tabela1[[#This Row],[vigencia ano]],Tabela1[[#This Row],[vigencia mês]],Tabela1[[#This Row],[vigencia dia]])</f>
        <v>48795</v>
      </c>
    </row>
    <row r="552" spans="1:15" x14ac:dyDescent="0.25">
      <c r="A552" t="s">
        <v>41</v>
      </c>
      <c r="B552" t="s">
        <v>2262</v>
      </c>
      <c r="C552" s="1">
        <v>13719780000176</v>
      </c>
      <c r="D552" t="s">
        <v>2263</v>
      </c>
      <c r="E552" t="s">
        <v>2264</v>
      </c>
      <c r="F552" t="s">
        <v>4</v>
      </c>
      <c r="G552">
        <v>13082050</v>
      </c>
      <c r="H552" t="s">
        <v>2265</v>
      </c>
      <c r="I552" t="s">
        <v>2266</v>
      </c>
      <c r="J552" t="s">
        <v>56</v>
      </c>
      <c r="K552">
        <v>11</v>
      </c>
      <c r="L552">
        <v>27</v>
      </c>
      <c r="M552">
        <v>2029</v>
      </c>
      <c r="N552" t="s">
        <v>47</v>
      </c>
      <c r="O552" s="5">
        <f>DATE(Tabela1[[#This Row],[vigencia ano]],Tabela1[[#This Row],[vigencia mês]],Tabela1[[#This Row],[vigencia dia]])</f>
        <v>47918</v>
      </c>
    </row>
    <row r="553" spans="1:15" x14ac:dyDescent="0.25">
      <c r="A553" t="s">
        <v>41</v>
      </c>
      <c r="B553" t="s">
        <v>2267</v>
      </c>
      <c r="C553" s="1">
        <v>39431640000191</v>
      </c>
      <c r="D553" t="s">
        <v>2268</v>
      </c>
      <c r="E553" t="s">
        <v>2264</v>
      </c>
      <c r="F553" t="s">
        <v>4</v>
      </c>
      <c r="G553">
        <v>13082050</v>
      </c>
      <c r="H553" t="s">
        <v>2269</v>
      </c>
      <c r="I553" t="s">
        <v>2270</v>
      </c>
      <c r="J553" t="s">
        <v>56</v>
      </c>
      <c r="K553">
        <v>12</v>
      </c>
      <c r="L553">
        <v>31</v>
      </c>
      <c r="M553">
        <v>2030</v>
      </c>
      <c r="N553" t="s">
        <v>47</v>
      </c>
      <c r="O553" s="5">
        <f>DATE(Tabela1[[#This Row],[vigencia ano]],Tabela1[[#This Row],[vigencia mês]],Tabela1[[#This Row],[vigencia dia]])</f>
        <v>48407</v>
      </c>
    </row>
    <row r="554" spans="1:15" x14ac:dyDescent="0.25">
      <c r="A554" t="s">
        <v>41</v>
      </c>
      <c r="B554" t="s">
        <v>2271</v>
      </c>
      <c r="C554" s="1">
        <v>33930047000103</v>
      </c>
      <c r="D554" t="s">
        <v>2272</v>
      </c>
      <c r="E554" t="s">
        <v>2264</v>
      </c>
      <c r="F554" t="s">
        <v>4</v>
      </c>
      <c r="G554">
        <v>13049900</v>
      </c>
      <c r="H554" t="s">
        <v>2273</v>
      </c>
      <c r="I554" t="s">
        <v>2274</v>
      </c>
      <c r="J554" t="s">
        <v>56</v>
      </c>
      <c r="K554">
        <v>7</v>
      </c>
      <c r="L554">
        <v>30</v>
      </c>
      <c r="M554">
        <v>2030</v>
      </c>
      <c r="N554" t="s">
        <v>47</v>
      </c>
      <c r="O554" s="5">
        <f>DATE(Tabela1[[#This Row],[vigencia ano]],Tabela1[[#This Row],[vigencia mês]],Tabela1[[#This Row],[vigencia dia]])</f>
        <v>48372</v>
      </c>
    </row>
    <row r="555" spans="1:15" x14ac:dyDescent="0.25">
      <c r="A555" t="s">
        <v>41</v>
      </c>
      <c r="B555" t="s">
        <v>2275</v>
      </c>
      <c r="C555" s="1">
        <v>3304310000198</v>
      </c>
      <c r="D555" t="s">
        <v>2276</v>
      </c>
      <c r="E555" t="s">
        <v>2264</v>
      </c>
      <c r="F555" t="s">
        <v>4</v>
      </c>
      <c r="G555">
        <v>13070210</v>
      </c>
      <c r="H555" t="s">
        <v>2277</v>
      </c>
      <c r="I555" t="s">
        <v>2278</v>
      </c>
      <c r="J555" t="s">
        <v>56</v>
      </c>
      <c r="K555">
        <v>10</v>
      </c>
      <c r="L555">
        <v>19</v>
      </c>
      <c r="M555">
        <v>2028</v>
      </c>
      <c r="N555" t="s">
        <v>47</v>
      </c>
      <c r="O555" s="5">
        <f>DATE(Tabela1[[#This Row],[vigencia ano]],Tabela1[[#This Row],[vigencia mês]],Tabela1[[#This Row],[vigencia dia]])</f>
        <v>47309</v>
      </c>
    </row>
    <row r="556" spans="1:15" x14ac:dyDescent="0.25">
      <c r="A556" t="s">
        <v>41</v>
      </c>
      <c r="B556" t="s">
        <v>2279</v>
      </c>
      <c r="C556" s="1">
        <v>17980416000116</v>
      </c>
      <c r="D556" t="s">
        <v>2280</v>
      </c>
      <c r="E556" t="s">
        <v>2264</v>
      </c>
      <c r="F556" t="s">
        <v>4</v>
      </c>
      <c r="G556">
        <v>13020440</v>
      </c>
      <c r="H556" t="s">
        <v>2281</v>
      </c>
      <c r="I556" t="s">
        <v>2282</v>
      </c>
      <c r="J556" t="s">
        <v>56</v>
      </c>
      <c r="K556">
        <v>6</v>
      </c>
      <c r="L556">
        <v>24</v>
      </c>
      <c r="M556">
        <v>2026</v>
      </c>
      <c r="N556" t="s">
        <v>47</v>
      </c>
      <c r="O556" s="5">
        <f>DATE(Tabela1[[#This Row],[vigencia ano]],Tabela1[[#This Row],[vigencia mês]],Tabela1[[#This Row],[vigencia dia]])</f>
        <v>46727</v>
      </c>
    </row>
    <row r="557" spans="1:15" x14ac:dyDescent="0.25">
      <c r="A557" t="s">
        <v>41</v>
      </c>
      <c r="B557" t="s">
        <v>2283</v>
      </c>
      <c r="C557" s="1">
        <v>54669221000186</v>
      </c>
      <c r="D557" t="s">
        <v>2284</v>
      </c>
      <c r="E557" t="s">
        <v>2264</v>
      </c>
      <c r="F557" t="s">
        <v>4</v>
      </c>
      <c r="G557">
        <v>13030500</v>
      </c>
      <c r="H557" t="s">
        <v>2285</v>
      </c>
      <c r="I557" t="s">
        <v>2286</v>
      </c>
      <c r="J557" t="s">
        <v>46</v>
      </c>
      <c r="K557">
        <v>7</v>
      </c>
      <c r="L557">
        <v>8</v>
      </c>
      <c r="M557">
        <v>2025</v>
      </c>
      <c r="N557" t="s">
        <v>47</v>
      </c>
      <c r="O557" s="5">
        <f>DATE(Tabela1[[#This Row],[vigencia ano]],Tabela1[[#This Row],[vigencia mês]],Tabela1[[#This Row],[vigencia dia]])</f>
        <v>45876</v>
      </c>
    </row>
    <row r="558" spans="1:15" x14ac:dyDescent="0.25">
      <c r="A558" t="s">
        <v>41</v>
      </c>
      <c r="B558" t="s">
        <v>2287</v>
      </c>
      <c r="C558" s="1">
        <v>4361599000140</v>
      </c>
      <c r="D558" t="s">
        <v>2288</v>
      </c>
      <c r="E558" t="s">
        <v>2264</v>
      </c>
      <c r="F558" t="s">
        <v>4</v>
      </c>
      <c r="G558">
        <v>13026010</v>
      </c>
      <c r="H558" t="s">
        <v>2289</v>
      </c>
      <c r="I558" t="s">
        <v>2290</v>
      </c>
      <c r="J558" t="s">
        <v>56</v>
      </c>
      <c r="K558">
        <v>10</v>
      </c>
      <c r="L558">
        <v>13</v>
      </c>
      <c r="M558">
        <v>2024</v>
      </c>
      <c r="N558" t="s">
        <v>47</v>
      </c>
      <c r="O558" s="5">
        <f>DATE(Tabela1[[#This Row],[vigencia ano]],Tabela1[[#This Row],[vigencia mês]],Tabela1[[#This Row],[vigencia dia]])</f>
        <v>45667</v>
      </c>
    </row>
    <row r="559" spans="1:15" x14ac:dyDescent="0.25">
      <c r="A559" t="s">
        <v>41</v>
      </c>
      <c r="B559" t="s">
        <v>2291</v>
      </c>
      <c r="C559" s="1">
        <v>31389792000161</v>
      </c>
      <c r="D559" t="s">
        <v>2292</v>
      </c>
      <c r="E559" t="s">
        <v>2264</v>
      </c>
      <c r="F559" t="s">
        <v>4</v>
      </c>
      <c r="G559">
        <v>13026010</v>
      </c>
      <c r="H559" t="s">
        <v>2293</v>
      </c>
      <c r="I559" t="s">
        <v>2294</v>
      </c>
      <c r="J559" t="s">
        <v>56</v>
      </c>
      <c r="K559">
        <v>6</v>
      </c>
      <c r="L559">
        <v>12</v>
      </c>
      <c r="M559">
        <v>2029</v>
      </c>
      <c r="N559" t="s">
        <v>47</v>
      </c>
      <c r="O559" s="5">
        <f>DATE(Tabela1[[#This Row],[vigencia ano]],Tabela1[[#This Row],[vigencia mês]],Tabela1[[#This Row],[vigencia dia]])</f>
        <v>47458</v>
      </c>
    </row>
    <row r="560" spans="1:15" x14ac:dyDescent="0.25">
      <c r="A560" t="s">
        <v>41</v>
      </c>
      <c r="B560" t="s">
        <v>2295</v>
      </c>
      <c r="C560" s="1">
        <v>54819966000184</v>
      </c>
      <c r="D560" t="s">
        <v>2296</v>
      </c>
      <c r="E560" t="s">
        <v>2264</v>
      </c>
      <c r="F560" t="s">
        <v>4</v>
      </c>
      <c r="G560">
        <v>13070147</v>
      </c>
      <c r="H560" t="s">
        <v>2297</v>
      </c>
      <c r="I560" t="s">
        <v>2298</v>
      </c>
      <c r="J560" t="s">
        <v>46</v>
      </c>
      <c r="K560">
        <v>8</v>
      </c>
      <c r="L560">
        <v>17</v>
      </c>
      <c r="M560">
        <v>2015</v>
      </c>
      <c r="N560" t="s">
        <v>47</v>
      </c>
      <c r="O560" s="5">
        <f>DATE(Tabela1[[#This Row],[vigencia ano]],Tabela1[[#This Row],[vigencia mês]],Tabela1[[#This Row],[vigencia dia]])</f>
        <v>42498</v>
      </c>
    </row>
    <row r="561" spans="1:15" x14ac:dyDescent="0.25">
      <c r="A561" t="s">
        <v>41</v>
      </c>
      <c r="B561" t="s">
        <v>2299</v>
      </c>
      <c r="C561" s="1">
        <v>38444081000191</v>
      </c>
      <c r="D561" t="s">
        <v>2300</v>
      </c>
      <c r="E561" t="s">
        <v>2264</v>
      </c>
      <c r="F561" t="s">
        <v>4</v>
      </c>
      <c r="G561">
        <v>13065531</v>
      </c>
      <c r="H561" t="s">
        <v>243</v>
      </c>
      <c r="I561" t="s">
        <v>2301</v>
      </c>
      <c r="J561" t="s">
        <v>56</v>
      </c>
      <c r="K561">
        <v>1</v>
      </c>
      <c r="L561">
        <v>5</v>
      </c>
      <c r="M561">
        <v>2033</v>
      </c>
      <c r="N561" t="s">
        <v>47</v>
      </c>
      <c r="O561" s="5">
        <f>DATE(Tabela1[[#This Row],[vigencia ano]],Tabela1[[#This Row],[vigencia mês]],Tabela1[[#This Row],[vigencia dia]])</f>
        <v>48700</v>
      </c>
    </row>
    <row r="562" spans="1:15" x14ac:dyDescent="0.25">
      <c r="A562" t="s">
        <v>41</v>
      </c>
      <c r="B562" t="s">
        <v>2302</v>
      </c>
      <c r="C562" s="1">
        <v>7985267000124</v>
      </c>
      <c r="D562" t="s">
        <v>2303</v>
      </c>
      <c r="E562" t="s">
        <v>2264</v>
      </c>
      <c r="F562" t="s">
        <v>4</v>
      </c>
      <c r="G562">
        <v>13026900</v>
      </c>
      <c r="H562" t="s">
        <v>2304</v>
      </c>
      <c r="I562" t="s">
        <v>2305</v>
      </c>
      <c r="J562" t="s">
        <v>56</v>
      </c>
      <c r="K562">
        <v>7</v>
      </c>
      <c r="L562">
        <v>30</v>
      </c>
      <c r="M562">
        <v>2028</v>
      </c>
      <c r="N562" t="s">
        <v>47</v>
      </c>
      <c r="O562" s="5">
        <f>DATE(Tabela1[[#This Row],[vigencia ano]],Tabela1[[#This Row],[vigencia mês]],Tabela1[[#This Row],[vigencia dia]])</f>
        <v>47641</v>
      </c>
    </row>
    <row r="563" spans="1:15" x14ac:dyDescent="0.25">
      <c r="A563" t="s">
        <v>41</v>
      </c>
      <c r="B563" t="s">
        <v>2306</v>
      </c>
      <c r="C563" s="1">
        <v>9351138000100</v>
      </c>
      <c r="D563" t="s">
        <v>2307</v>
      </c>
      <c r="E563" t="s">
        <v>2264</v>
      </c>
      <c r="F563" t="s">
        <v>4</v>
      </c>
      <c r="G563">
        <v>13069330</v>
      </c>
      <c r="H563" t="s">
        <v>2308</v>
      </c>
      <c r="I563" t="s">
        <v>2309</v>
      </c>
      <c r="J563" t="s">
        <v>56</v>
      </c>
      <c r="K563">
        <v>1</v>
      </c>
      <c r="L563">
        <v>22</v>
      </c>
      <c r="M563">
        <v>2026</v>
      </c>
      <c r="N563" t="s">
        <v>47</v>
      </c>
      <c r="O563" s="5">
        <f>DATE(Tabela1[[#This Row],[vigencia ano]],Tabela1[[#This Row],[vigencia mês]],Tabela1[[#This Row],[vigencia dia]])</f>
        <v>46661</v>
      </c>
    </row>
    <row r="564" spans="1:15" x14ac:dyDescent="0.25">
      <c r="A564" t="s">
        <v>41</v>
      </c>
      <c r="B564" t="s">
        <v>2310</v>
      </c>
      <c r="C564" s="1">
        <v>37354295000104</v>
      </c>
      <c r="D564" t="s">
        <v>2311</v>
      </c>
      <c r="E564" t="s">
        <v>2264</v>
      </c>
      <c r="F564" t="s">
        <v>4</v>
      </c>
      <c r="G564">
        <v>13049900</v>
      </c>
      <c r="H564" t="s">
        <v>2312</v>
      </c>
      <c r="I564" t="s">
        <v>2313</v>
      </c>
      <c r="J564" t="s">
        <v>56</v>
      </c>
      <c r="K564">
        <v>5</v>
      </c>
      <c r="L564">
        <v>26</v>
      </c>
      <c r="M564">
        <v>2031</v>
      </c>
      <c r="N564" t="s">
        <v>47</v>
      </c>
      <c r="O564" s="5">
        <f>DATE(Tabela1[[#This Row],[vigencia ano]],Tabela1[[#This Row],[vigencia mês]],Tabela1[[#This Row],[vigencia dia]])</f>
        <v>48615</v>
      </c>
    </row>
    <row r="565" spans="1:15" x14ac:dyDescent="0.25">
      <c r="A565" t="s">
        <v>41</v>
      </c>
      <c r="B565" t="s">
        <v>2314</v>
      </c>
      <c r="C565" s="1">
        <v>46416494000190</v>
      </c>
      <c r="D565" t="s">
        <v>2315</v>
      </c>
      <c r="E565" t="s">
        <v>2264</v>
      </c>
      <c r="F565" t="s">
        <v>4</v>
      </c>
      <c r="G565">
        <v>13052901</v>
      </c>
      <c r="H565" t="s">
        <v>2316</v>
      </c>
      <c r="I565" t="s">
        <v>2317</v>
      </c>
      <c r="J565" t="s">
        <v>56</v>
      </c>
      <c r="K565">
        <v>7</v>
      </c>
      <c r="L565">
        <v>10</v>
      </c>
      <c r="M565">
        <v>2033</v>
      </c>
      <c r="N565" t="s">
        <v>47</v>
      </c>
      <c r="O565" s="5">
        <f>DATE(Tabela1[[#This Row],[vigencia ano]],Tabela1[[#This Row],[vigencia mês]],Tabela1[[#This Row],[vigencia dia]])</f>
        <v>48859</v>
      </c>
    </row>
    <row r="566" spans="1:15" x14ac:dyDescent="0.25">
      <c r="A566" t="s">
        <v>41</v>
      </c>
      <c r="B566" t="s">
        <v>2318</v>
      </c>
      <c r="C566" s="1">
        <v>74649427000151</v>
      </c>
      <c r="D566" t="s">
        <v>2319</v>
      </c>
      <c r="E566" t="s">
        <v>2264</v>
      </c>
      <c r="F566" t="s">
        <v>4</v>
      </c>
      <c r="G566">
        <v>13026010</v>
      </c>
      <c r="H566" t="s">
        <v>2320</v>
      </c>
      <c r="I566" t="s">
        <v>2321</v>
      </c>
      <c r="J566" t="s">
        <v>56</v>
      </c>
      <c r="K566">
        <v>9</v>
      </c>
      <c r="L566">
        <v>13</v>
      </c>
      <c r="M566">
        <v>2029</v>
      </c>
      <c r="N566" t="s">
        <v>47</v>
      </c>
      <c r="O566" s="5">
        <f>DATE(Tabela1[[#This Row],[vigencia ano]],Tabela1[[#This Row],[vigencia mês]],Tabela1[[#This Row],[vigencia dia]])</f>
        <v>47492</v>
      </c>
    </row>
    <row r="567" spans="1:15" x14ac:dyDescent="0.25">
      <c r="A567" t="s">
        <v>41</v>
      </c>
      <c r="B567" t="s">
        <v>2322</v>
      </c>
      <c r="C567" s="1">
        <v>57695405000109</v>
      </c>
      <c r="D567" t="s">
        <v>2323</v>
      </c>
      <c r="E567" t="s">
        <v>2264</v>
      </c>
      <c r="F567" t="s">
        <v>4</v>
      </c>
      <c r="G567">
        <v>13050080</v>
      </c>
      <c r="H567" t="s">
        <v>2324</v>
      </c>
      <c r="I567" t="s">
        <v>2325</v>
      </c>
      <c r="J567" t="s">
        <v>56</v>
      </c>
      <c r="K567">
        <v>7</v>
      </c>
      <c r="L567">
        <v>28</v>
      </c>
      <c r="M567">
        <v>2026</v>
      </c>
      <c r="N567" t="s">
        <v>47</v>
      </c>
      <c r="O567" s="5">
        <f>DATE(Tabela1[[#This Row],[vigencia ano]],Tabela1[[#This Row],[vigencia mês]],Tabela1[[#This Row],[vigencia dia]])</f>
        <v>46850</v>
      </c>
    </row>
    <row r="568" spans="1:15" x14ac:dyDescent="0.25">
      <c r="A568" t="s">
        <v>41</v>
      </c>
      <c r="B568" t="s">
        <v>2326</v>
      </c>
      <c r="C568" s="1">
        <v>57189367000112</v>
      </c>
      <c r="D568" t="s">
        <v>2327</v>
      </c>
      <c r="E568" t="s">
        <v>2264</v>
      </c>
      <c r="F568" t="s">
        <v>4</v>
      </c>
      <c r="G568">
        <v>13064620</v>
      </c>
      <c r="H568" t="s">
        <v>2328</v>
      </c>
      <c r="I568" t="s">
        <v>2329</v>
      </c>
      <c r="J568" t="s">
        <v>56</v>
      </c>
      <c r="K568">
        <v>10</v>
      </c>
      <c r="L568">
        <v>6</v>
      </c>
      <c r="M568">
        <v>2021</v>
      </c>
      <c r="N568" t="s">
        <v>47</v>
      </c>
      <c r="O568" s="5">
        <f>DATE(Tabela1[[#This Row],[vigencia ano]],Tabela1[[#This Row],[vigencia mês]],Tabela1[[#This Row],[vigencia dia]])</f>
        <v>44357</v>
      </c>
    </row>
    <row r="569" spans="1:15" x14ac:dyDescent="0.25">
      <c r="A569" t="s">
        <v>41</v>
      </c>
      <c r="B569" t="s">
        <v>2330</v>
      </c>
      <c r="C569" s="1">
        <v>15274275000190</v>
      </c>
      <c r="D569" t="s">
        <v>2331</v>
      </c>
      <c r="E569" t="s">
        <v>2264</v>
      </c>
      <c r="F569" t="s">
        <v>4</v>
      </c>
      <c r="G569">
        <v>13082030</v>
      </c>
      <c r="H569" t="s">
        <v>2332</v>
      </c>
      <c r="I569" t="s">
        <v>2333</v>
      </c>
      <c r="J569" t="s">
        <v>56</v>
      </c>
      <c r="K569">
        <v>2</v>
      </c>
      <c r="L569">
        <v>11</v>
      </c>
      <c r="M569">
        <v>2025</v>
      </c>
      <c r="N569" t="s">
        <v>47</v>
      </c>
      <c r="O569" s="5">
        <f>DATE(Tabela1[[#This Row],[vigencia ano]],Tabela1[[#This Row],[vigencia mês]],Tabela1[[#This Row],[vigencia dia]])</f>
        <v>45963</v>
      </c>
    </row>
    <row r="570" spans="1:15" x14ac:dyDescent="0.25">
      <c r="A570" t="s">
        <v>41</v>
      </c>
      <c r="B570" t="s">
        <v>2334</v>
      </c>
      <c r="C570" s="1">
        <v>34381823000126</v>
      </c>
      <c r="D570" t="s">
        <v>2335</v>
      </c>
      <c r="E570" t="s">
        <v>2264</v>
      </c>
      <c r="F570" t="s">
        <v>4</v>
      </c>
      <c r="G570">
        <v>13069101</v>
      </c>
      <c r="H570" t="s">
        <v>2336</v>
      </c>
      <c r="I570" t="s">
        <v>2337</v>
      </c>
      <c r="J570" t="s">
        <v>46</v>
      </c>
      <c r="K570">
        <v>3</v>
      </c>
      <c r="L570">
        <v>27</v>
      </c>
      <c r="M570">
        <v>2035</v>
      </c>
      <c r="N570" t="s">
        <v>2338</v>
      </c>
      <c r="O570" s="5">
        <f>DATE(Tabela1[[#This Row],[vigencia ano]],Tabela1[[#This Row],[vigencia mês]],Tabela1[[#This Row],[vigencia dia]])</f>
        <v>50102</v>
      </c>
    </row>
    <row r="571" spans="1:15" x14ac:dyDescent="0.25">
      <c r="A571" t="s">
        <v>41</v>
      </c>
      <c r="B571" t="s">
        <v>2339</v>
      </c>
      <c r="C571" s="1">
        <v>37804422000120</v>
      </c>
      <c r="D571" t="s">
        <v>2340</v>
      </c>
      <c r="E571" t="s">
        <v>2264</v>
      </c>
      <c r="F571" t="s">
        <v>4</v>
      </c>
      <c r="G571">
        <v>13087511</v>
      </c>
      <c r="H571" t="s">
        <v>2341</v>
      </c>
      <c r="I571" t="s">
        <v>2342</v>
      </c>
      <c r="J571" t="s">
        <v>56</v>
      </c>
      <c r="K571">
        <v>9</v>
      </c>
      <c r="L571">
        <v>18</v>
      </c>
      <c r="M571">
        <v>2030</v>
      </c>
      <c r="N571" t="s">
        <v>47</v>
      </c>
      <c r="O571" s="5">
        <f>DATE(Tabela1[[#This Row],[vigencia ano]],Tabela1[[#This Row],[vigencia mês]],Tabela1[[#This Row],[vigencia dia]])</f>
        <v>48008</v>
      </c>
    </row>
    <row r="572" spans="1:15" x14ac:dyDescent="0.25">
      <c r="A572" t="s">
        <v>41</v>
      </c>
      <c r="B572" t="s">
        <v>2343</v>
      </c>
      <c r="C572" s="1">
        <v>19215272000137</v>
      </c>
      <c r="D572" t="s">
        <v>2344</v>
      </c>
      <c r="E572" t="s">
        <v>2345</v>
      </c>
      <c r="F572" t="s">
        <v>4</v>
      </c>
      <c r="G572">
        <v>13490174</v>
      </c>
      <c r="H572" t="s">
        <v>2346</v>
      </c>
      <c r="I572" t="s">
        <v>2347</v>
      </c>
      <c r="J572" t="s">
        <v>56</v>
      </c>
      <c r="K572">
        <v>6</v>
      </c>
      <c r="L572">
        <v>16</v>
      </c>
      <c r="M572">
        <v>2035</v>
      </c>
      <c r="N572" t="s">
        <v>2348</v>
      </c>
      <c r="O572" s="5">
        <f>DATE(Tabela1[[#This Row],[vigencia ano]],Tabela1[[#This Row],[vigencia mês]],Tabela1[[#This Row],[vigencia dia]])</f>
        <v>49771</v>
      </c>
    </row>
    <row r="573" spans="1:15" x14ac:dyDescent="0.25">
      <c r="A573" t="s">
        <v>41</v>
      </c>
      <c r="B573" t="s">
        <v>2349</v>
      </c>
      <c r="C573" s="1">
        <v>1142882000192</v>
      </c>
      <c r="D573" t="s">
        <v>2350</v>
      </c>
      <c r="E573" t="s">
        <v>2351</v>
      </c>
      <c r="F573" t="s">
        <v>4</v>
      </c>
      <c r="G573">
        <v>6714285</v>
      </c>
      <c r="H573" t="s">
        <v>2352</v>
      </c>
      <c r="I573" t="s">
        <v>2353</v>
      </c>
      <c r="J573" t="s">
        <v>46</v>
      </c>
      <c r="K573">
        <v>8</v>
      </c>
      <c r="L573">
        <v>3</v>
      </c>
      <c r="M573">
        <v>2027</v>
      </c>
      <c r="N573" t="s">
        <v>47</v>
      </c>
      <c r="O573" s="5">
        <f>DATE(Tabela1[[#This Row],[vigencia ano]],Tabela1[[#This Row],[vigencia mês]],Tabela1[[#This Row],[vigencia dia]])</f>
        <v>46454</v>
      </c>
    </row>
    <row r="574" spans="1:15" x14ac:dyDescent="0.25">
      <c r="A574" t="s">
        <v>41</v>
      </c>
      <c r="B574" t="s">
        <v>2354</v>
      </c>
      <c r="C574" s="1">
        <v>32818709000195</v>
      </c>
      <c r="D574" t="s">
        <v>2355</v>
      </c>
      <c r="E574" t="s">
        <v>2351</v>
      </c>
      <c r="F574" t="s">
        <v>4</v>
      </c>
      <c r="G574">
        <v>6715865</v>
      </c>
      <c r="H574" t="s">
        <v>2356</v>
      </c>
      <c r="I574" t="s">
        <v>2357</v>
      </c>
      <c r="J574" t="s">
        <v>56</v>
      </c>
      <c r="K574">
        <v>9</v>
      </c>
      <c r="L574">
        <v>24</v>
      </c>
      <c r="M574">
        <v>2029</v>
      </c>
      <c r="N574" t="s">
        <v>47</v>
      </c>
      <c r="O574" s="5">
        <f>DATE(Tabela1[[#This Row],[vigencia ano]],Tabela1[[#This Row],[vigencia mês]],Tabela1[[#This Row],[vigencia dia]])</f>
        <v>47826</v>
      </c>
    </row>
    <row r="575" spans="1:15" x14ac:dyDescent="0.25">
      <c r="A575" t="s">
        <v>41</v>
      </c>
      <c r="B575" t="s">
        <v>2358</v>
      </c>
      <c r="C575" s="1">
        <v>2245727000164</v>
      </c>
      <c r="D575" t="s">
        <v>2359</v>
      </c>
      <c r="E575" t="s">
        <v>2360</v>
      </c>
      <c r="F575" t="s">
        <v>4</v>
      </c>
      <c r="G575">
        <v>11505019</v>
      </c>
      <c r="H575" t="s">
        <v>2361</v>
      </c>
      <c r="I575" t="s">
        <v>2362</v>
      </c>
      <c r="J575" t="s">
        <v>56</v>
      </c>
      <c r="K575">
        <v>12</v>
      </c>
      <c r="L575">
        <v>2</v>
      </c>
      <c r="M575">
        <v>2025</v>
      </c>
      <c r="N575" t="s">
        <v>47</v>
      </c>
      <c r="O575" s="5">
        <f>DATE(Tabela1[[#This Row],[vigencia ano]],Tabela1[[#This Row],[vigencia mês]],Tabela1[[#This Row],[vigencia dia]])</f>
        <v>45700</v>
      </c>
    </row>
    <row r="576" spans="1:15" x14ac:dyDescent="0.25">
      <c r="A576" t="s">
        <v>41</v>
      </c>
      <c r="B576" t="s">
        <v>2358</v>
      </c>
      <c r="C576" s="1">
        <v>2245727000164</v>
      </c>
      <c r="D576" t="s">
        <v>2359</v>
      </c>
      <c r="E576" t="s">
        <v>2360</v>
      </c>
      <c r="F576" t="s">
        <v>4</v>
      </c>
      <c r="G576">
        <v>11505019</v>
      </c>
      <c r="H576" t="s">
        <v>2363</v>
      </c>
      <c r="I576" t="s">
        <v>2362</v>
      </c>
      <c r="J576" t="s">
        <v>56</v>
      </c>
      <c r="K576">
        <v>12</v>
      </c>
      <c r="L576">
        <v>2</v>
      </c>
      <c r="M576">
        <v>2025</v>
      </c>
      <c r="N576" t="s">
        <v>47</v>
      </c>
      <c r="O576" s="5">
        <f>DATE(Tabela1[[#This Row],[vigencia ano]],Tabela1[[#This Row],[vigencia mês]],Tabela1[[#This Row],[vigencia dia]])</f>
        <v>45700</v>
      </c>
    </row>
    <row r="577" spans="1:15" x14ac:dyDescent="0.25">
      <c r="A577" t="s">
        <v>41</v>
      </c>
      <c r="B577" t="s">
        <v>2358</v>
      </c>
      <c r="C577" s="1">
        <v>2245727000164</v>
      </c>
      <c r="D577" t="s">
        <v>2359</v>
      </c>
      <c r="E577" t="s">
        <v>2360</v>
      </c>
      <c r="F577" t="s">
        <v>4</v>
      </c>
      <c r="G577">
        <v>11505019</v>
      </c>
      <c r="H577" t="s">
        <v>2364</v>
      </c>
      <c r="I577" t="s">
        <v>2362</v>
      </c>
      <c r="J577" t="s">
        <v>56</v>
      </c>
      <c r="K577">
        <v>12</v>
      </c>
      <c r="L577">
        <v>2</v>
      </c>
      <c r="M577">
        <v>2025</v>
      </c>
      <c r="N577" t="s">
        <v>47</v>
      </c>
      <c r="O577" s="5">
        <f>DATE(Tabela1[[#This Row],[vigencia ano]],Tabela1[[#This Row],[vigencia mês]],Tabela1[[#This Row],[vigencia dia]])</f>
        <v>45700</v>
      </c>
    </row>
    <row r="578" spans="1:15" x14ac:dyDescent="0.25">
      <c r="A578" t="s">
        <v>41</v>
      </c>
      <c r="B578" t="s">
        <v>2358</v>
      </c>
      <c r="C578" s="1">
        <v>2245727000164</v>
      </c>
      <c r="D578" t="s">
        <v>2359</v>
      </c>
      <c r="E578" t="s">
        <v>2360</v>
      </c>
      <c r="F578" t="s">
        <v>4</v>
      </c>
      <c r="G578">
        <v>11505019</v>
      </c>
      <c r="H578" t="s">
        <v>2365</v>
      </c>
      <c r="I578" t="s">
        <v>2362</v>
      </c>
      <c r="J578" t="s">
        <v>56</v>
      </c>
      <c r="K578">
        <v>12</v>
      </c>
      <c r="L578">
        <v>2</v>
      </c>
      <c r="M578">
        <v>2025</v>
      </c>
      <c r="N578" t="s">
        <v>47</v>
      </c>
      <c r="O578" s="5">
        <f>DATE(Tabela1[[#This Row],[vigencia ano]],Tabela1[[#This Row],[vigencia mês]],Tabela1[[#This Row],[vigencia dia]])</f>
        <v>45700</v>
      </c>
    </row>
    <row r="579" spans="1:15" x14ac:dyDescent="0.25">
      <c r="A579" t="s">
        <v>41</v>
      </c>
      <c r="B579" t="s">
        <v>2366</v>
      </c>
      <c r="C579" s="1">
        <v>10344209000126</v>
      </c>
      <c r="D579" t="s">
        <v>2367</v>
      </c>
      <c r="E579" t="s">
        <v>2360</v>
      </c>
      <c r="F579" t="s">
        <v>4</v>
      </c>
      <c r="G579">
        <v>11505019</v>
      </c>
      <c r="H579" t="s">
        <v>2368</v>
      </c>
      <c r="I579" t="s">
        <v>2369</v>
      </c>
      <c r="J579" t="s">
        <v>56</v>
      </c>
      <c r="K579">
        <v>5</v>
      </c>
      <c r="L579">
        <v>12</v>
      </c>
      <c r="M579">
        <v>2025</v>
      </c>
      <c r="N579" t="s">
        <v>47</v>
      </c>
      <c r="O579" s="5">
        <f>DATE(Tabela1[[#This Row],[vigencia ano]],Tabela1[[#This Row],[vigencia mês]],Tabela1[[#This Row],[vigencia dia]])</f>
        <v>45996</v>
      </c>
    </row>
    <row r="580" spans="1:15" x14ac:dyDescent="0.25">
      <c r="A580" t="s">
        <v>41</v>
      </c>
      <c r="B580" t="s">
        <v>2370</v>
      </c>
      <c r="C580" s="1">
        <v>4356815000169</v>
      </c>
      <c r="D580" t="s">
        <v>2371</v>
      </c>
      <c r="E580" t="s">
        <v>2360</v>
      </c>
      <c r="F580" t="s">
        <v>4</v>
      </c>
      <c r="G580">
        <v>11533070</v>
      </c>
      <c r="H580" t="s">
        <v>2372</v>
      </c>
      <c r="I580" t="s">
        <v>2373</v>
      </c>
      <c r="J580" t="s">
        <v>56</v>
      </c>
      <c r="K580">
        <v>1</v>
      </c>
      <c r="L580">
        <v>9</v>
      </c>
      <c r="M580">
        <v>2029</v>
      </c>
      <c r="N580" t="s">
        <v>47</v>
      </c>
      <c r="O580" s="5">
        <f>DATE(Tabela1[[#This Row],[vigencia ano]],Tabela1[[#This Row],[vigencia mês]],Tabela1[[#This Row],[vigencia dia]])</f>
        <v>47362</v>
      </c>
    </row>
    <row r="581" spans="1:15" x14ac:dyDescent="0.25">
      <c r="A581" t="s">
        <v>41</v>
      </c>
      <c r="B581" t="s">
        <v>2374</v>
      </c>
      <c r="C581" s="1">
        <v>1527330000100</v>
      </c>
      <c r="D581" t="s">
        <v>2375</v>
      </c>
      <c r="E581" t="s">
        <v>2360</v>
      </c>
      <c r="F581" t="s">
        <v>4</v>
      </c>
      <c r="G581">
        <v>11570000</v>
      </c>
      <c r="H581" t="s">
        <v>2376</v>
      </c>
      <c r="I581" t="s">
        <v>2377</v>
      </c>
      <c r="J581" t="s">
        <v>46</v>
      </c>
      <c r="K581">
        <v>12</v>
      </c>
      <c r="L581">
        <v>4</v>
      </c>
      <c r="M581">
        <v>2019</v>
      </c>
      <c r="N581" t="s">
        <v>47</v>
      </c>
      <c r="O581" s="5">
        <f>DATE(Tabela1[[#This Row],[vigencia ano]],Tabela1[[#This Row],[vigencia mês]],Tabela1[[#This Row],[vigencia dia]])</f>
        <v>43567</v>
      </c>
    </row>
    <row r="582" spans="1:15" x14ac:dyDescent="0.25">
      <c r="A582" t="s">
        <v>41</v>
      </c>
      <c r="B582" t="s">
        <v>2374</v>
      </c>
      <c r="C582" s="1">
        <v>1527330000100</v>
      </c>
      <c r="D582" t="s">
        <v>2375</v>
      </c>
      <c r="E582" t="s">
        <v>2360</v>
      </c>
      <c r="F582" t="s">
        <v>4</v>
      </c>
      <c r="G582">
        <v>11570000</v>
      </c>
      <c r="H582" t="s">
        <v>2378</v>
      </c>
      <c r="I582" t="s">
        <v>2377</v>
      </c>
      <c r="J582" t="s">
        <v>46</v>
      </c>
      <c r="K582">
        <v>12</v>
      </c>
      <c r="L582">
        <v>4</v>
      </c>
      <c r="M582">
        <v>2019</v>
      </c>
      <c r="N582" t="s">
        <v>47</v>
      </c>
      <c r="O582" s="5">
        <f>DATE(Tabela1[[#This Row],[vigencia ano]],Tabela1[[#This Row],[vigencia mês]],Tabela1[[#This Row],[vigencia dia]])</f>
        <v>43567</v>
      </c>
    </row>
    <row r="583" spans="1:15" x14ac:dyDescent="0.25">
      <c r="A583" t="s">
        <v>41</v>
      </c>
      <c r="B583" t="s">
        <v>2379</v>
      </c>
      <c r="C583" s="1">
        <v>6235812000100</v>
      </c>
      <c r="D583" t="s">
        <v>2380</v>
      </c>
      <c r="E583" t="s">
        <v>2360</v>
      </c>
      <c r="F583" t="s">
        <v>4</v>
      </c>
      <c r="G583">
        <v>11570100</v>
      </c>
      <c r="H583" t="s">
        <v>2381</v>
      </c>
      <c r="I583" t="s">
        <v>2382</v>
      </c>
      <c r="J583" t="s">
        <v>56</v>
      </c>
      <c r="K583">
        <v>12</v>
      </c>
      <c r="L583">
        <v>16</v>
      </c>
      <c r="M583">
        <v>2026</v>
      </c>
      <c r="N583" t="s">
        <v>47</v>
      </c>
      <c r="O583" s="5">
        <f>DATE(Tabela1[[#This Row],[vigencia ano]],Tabela1[[#This Row],[vigencia mês]],Tabela1[[#This Row],[vigencia dia]])</f>
        <v>46489</v>
      </c>
    </row>
    <row r="584" spans="1:15" x14ac:dyDescent="0.25">
      <c r="A584" t="s">
        <v>41</v>
      </c>
      <c r="B584" t="s">
        <v>2383</v>
      </c>
      <c r="C584" s="1">
        <v>10299567000164</v>
      </c>
      <c r="D584" t="s">
        <v>2384</v>
      </c>
      <c r="E584" t="s">
        <v>2385</v>
      </c>
      <c r="F584" t="s">
        <v>4</v>
      </c>
      <c r="G584">
        <v>9931610</v>
      </c>
      <c r="H584" t="s">
        <v>2386</v>
      </c>
      <c r="I584" t="s">
        <v>2387</v>
      </c>
      <c r="J584" t="s">
        <v>46</v>
      </c>
      <c r="K584">
        <v>9</v>
      </c>
      <c r="L584">
        <v>4</v>
      </c>
      <c r="M584">
        <v>2029</v>
      </c>
      <c r="N584" t="s">
        <v>47</v>
      </c>
      <c r="O584" s="5">
        <f>DATE(Tabela1[[#This Row],[vigencia ano]],Tabela1[[#This Row],[vigencia mês]],Tabela1[[#This Row],[vigencia dia]])</f>
        <v>47217</v>
      </c>
    </row>
    <row r="585" spans="1:15" x14ac:dyDescent="0.25">
      <c r="A585" t="s">
        <v>41</v>
      </c>
      <c r="B585" t="s">
        <v>2388</v>
      </c>
      <c r="C585" s="1">
        <v>62087309000118</v>
      </c>
      <c r="D585" t="s">
        <v>2389</v>
      </c>
      <c r="E585" t="s">
        <v>2385</v>
      </c>
      <c r="F585" t="s">
        <v>4</v>
      </c>
      <c r="G585">
        <v>9950370</v>
      </c>
      <c r="H585" t="s">
        <v>2390</v>
      </c>
      <c r="I585" t="s">
        <v>2391</v>
      </c>
      <c r="J585" t="s">
        <v>46</v>
      </c>
      <c r="K585">
        <v>1</v>
      </c>
      <c r="L585">
        <v>15</v>
      </c>
      <c r="M585">
        <v>2023</v>
      </c>
      <c r="N585" t="s">
        <v>47</v>
      </c>
      <c r="O585" s="5">
        <f>DATE(Tabela1[[#This Row],[vigencia ano]],Tabela1[[#This Row],[vigencia mês]],Tabela1[[#This Row],[vigencia dia]])</f>
        <v>45352</v>
      </c>
    </row>
    <row r="586" spans="1:15" x14ac:dyDescent="0.25">
      <c r="A586" t="s">
        <v>41</v>
      </c>
      <c r="B586" t="s">
        <v>2392</v>
      </c>
      <c r="C586" s="1">
        <v>5613421000101</v>
      </c>
      <c r="D586" t="s">
        <v>2393</v>
      </c>
      <c r="E586" t="s">
        <v>2385</v>
      </c>
      <c r="F586" t="s">
        <v>4</v>
      </c>
      <c r="G586">
        <v>9910720</v>
      </c>
      <c r="H586" t="s">
        <v>2394</v>
      </c>
      <c r="I586" t="s">
        <v>2395</v>
      </c>
      <c r="J586" t="s">
        <v>56</v>
      </c>
      <c r="K586">
        <v>1</v>
      </c>
      <c r="L586">
        <v>15</v>
      </c>
      <c r="M586">
        <v>2034</v>
      </c>
      <c r="N586" t="s">
        <v>47</v>
      </c>
      <c r="O586" s="5">
        <f>DATE(Tabela1[[#This Row],[vigencia ano]],Tabela1[[#This Row],[vigencia mês]],Tabela1[[#This Row],[vigencia dia]])</f>
        <v>49369</v>
      </c>
    </row>
    <row r="587" spans="1:15" x14ac:dyDescent="0.25">
      <c r="A587" t="s">
        <v>41</v>
      </c>
      <c r="B587" t="s">
        <v>2396</v>
      </c>
      <c r="C587" s="1">
        <v>10233384000146</v>
      </c>
      <c r="D587" t="s">
        <v>2397</v>
      </c>
      <c r="E587" t="s">
        <v>2385</v>
      </c>
      <c r="F587" t="s">
        <v>4</v>
      </c>
      <c r="G587">
        <v>9991190</v>
      </c>
      <c r="H587" t="s">
        <v>2398</v>
      </c>
      <c r="I587" t="s">
        <v>2399</v>
      </c>
      <c r="J587" t="s">
        <v>56</v>
      </c>
      <c r="K587">
        <v>10</v>
      </c>
      <c r="L587">
        <v>8</v>
      </c>
      <c r="M587">
        <v>2025</v>
      </c>
      <c r="N587" t="s">
        <v>47</v>
      </c>
      <c r="O587" s="5">
        <f>DATE(Tabela1[[#This Row],[vigencia ano]],Tabela1[[#This Row],[vigencia mês]],Tabela1[[#This Row],[vigencia dia]])</f>
        <v>45879</v>
      </c>
    </row>
    <row r="588" spans="1:15" x14ac:dyDescent="0.25">
      <c r="A588" t="s">
        <v>41</v>
      </c>
      <c r="B588" t="s">
        <v>2400</v>
      </c>
      <c r="C588" s="1">
        <v>3344937000172</v>
      </c>
      <c r="D588" t="s">
        <v>2401</v>
      </c>
      <c r="E588" t="s">
        <v>2385</v>
      </c>
      <c r="F588" t="s">
        <v>4</v>
      </c>
      <c r="G588">
        <v>9990310</v>
      </c>
      <c r="H588" t="s">
        <v>2402</v>
      </c>
      <c r="I588" t="s">
        <v>2403</v>
      </c>
      <c r="J588" t="s">
        <v>56</v>
      </c>
      <c r="K588">
        <v>7</v>
      </c>
      <c r="L588">
        <v>13</v>
      </c>
      <c r="M588">
        <v>2036</v>
      </c>
      <c r="N588" t="s">
        <v>2404</v>
      </c>
      <c r="O588" s="5">
        <f>DATE(Tabela1[[#This Row],[vigencia ano]],Tabela1[[#This Row],[vigencia mês]],Tabela1[[#This Row],[vigencia dia]])</f>
        <v>50047</v>
      </c>
    </row>
    <row r="589" spans="1:15" x14ac:dyDescent="0.25">
      <c r="A589" t="s">
        <v>41</v>
      </c>
      <c r="B589" t="s">
        <v>2400</v>
      </c>
      <c r="C589" s="1">
        <v>3344937000172</v>
      </c>
      <c r="D589" t="s">
        <v>2401</v>
      </c>
      <c r="E589" t="s">
        <v>2385</v>
      </c>
      <c r="F589" t="s">
        <v>4</v>
      </c>
      <c r="G589">
        <v>9990310</v>
      </c>
      <c r="H589" t="s">
        <v>2405</v>
      </c>
      <c r="I589" t="s">
        <v>2403</v>
      </c>
      <c r="J589" t="s">
        <v>56</v>
      </c>
      <c r="K589">
        <v>7</v>
      </c>
      <c r="L589">
        <v>13</v>
      </c>
      <c r="M589">
        <v>2036</v>
      </c>
      <c r="N589" t="s">
        <v>2404</v>
      </c>
      <c r="O589" s="5">
        <f>DATE(Tabela1[[#This Row],[vigencia ano]],Tabela1[[#This Row],[vigencia mês]],Tabela1[[#This Row],[vigencia dia]])</f>
        <v>50047</v>
      </c>
    </row>
    <row r="590" spans="1:15" x14ac:dyDescent="0.25">
      <c r="A590" t="s">
        <v>41</v>
      </c>
      <c r="B590" t="s">
        <v>2406</v>
      </c>
      <c r="C590" s="1">
        <v>9350202000138</v>
      </c>
      <c r="D590" t="s">
        <v>2407</v>
      </c>
      <c r="E590" t="s">
        <v>2385</v>
      </c>
      <c r="F590" t="s">
        <v>4</v>
      </c>
      <c r="G590">
        <v>9990310</v>
      </c>
      <c r="H590" t="s">
        <v>2405</v>
      </c>
      <c r="I590" t="s">
        <v>2408</v>
      </c>
      <c r="J590" t="s">
        <v>56</v>
      </c>
      <c r="K590">
        <v>7</v>
      </c>
      <c r="L590">
        <v>14</v>
      </c>
      <c r="M590">
        <v>2036</v>
      </c>
      <c r="N590" t="s">
        <v>2409</v>
      </c>
      <c r="O590" s="5">
        <f>DATE(Tabela1[[#This Row],[vigencia ano]],Tabela1[[#This Row],[vigencia mês]],Tabela1[[#This Row],[vigencia dia]])</f>
        <v>50078</v>
      </c>
    </row>
    <row r="591" spans="1:15" x14ac:dyDescent="0.25">
      <c r="A591" t="s">
        <v>41</v>
      </c>
      <c r="B591" t="s">
        <v>2410</v>
      </c>
      <c r="C591" s="1">
        <v>1544197000192</v>
      </c>
      <c r="D591" t="s">
        <v>2411</v>
      </c>
      <c r="E591" t="s">
        <v>2412</v>
      </c>
      <c r="F591" t="s">
        <v>4</v>
      </c>
      <c r="G591">
        <v>6846095</v>
      </c>
      <c r="H591" t="s">
        <v>1255</v>
      </c>
      <c r="I591" t="s">
        <v>2413</v>
      </c>
      <c r="J591" t="s">
        <v>56</v>
      </c>
      <c r="K591">
        <v>6</v>
      </c>
      <c r="L591">
        <v>18</v>
      </c>
      <c r="M591">
        <v>2029</v>
      </c>
      <c r="N591" t="s">
        <v>47</v>
      </c>
      <c r="O591" s="5">
        <f>DATE(Tabela1[[#This Row],[vigencia ano]],Tabela1[[#This Row],[vigencia mês]],Tabela1[[#This Row],[vigencia dia]])</f>
        <v>47640</v>
      </c>
    </row>
    <row r="592" spans="1:15" x14ac:dyDescent="0.25">
      <c r="A592" t="s">
        <v>41</v>
      </c>
      <c r="B592" t="s">
        <v>2414</v>
      </c>
      <c r="C592" s="1">
        <v>1610798000156</v>
      </c>
      <c r="D592" t="s">
        <v>2415</v>
      </c>
      <c r="E592" t="s">
        <v>2412</v>
      </c>
      <c r="F592" t="s">
        <v>4</v>
      </c>
      <c r="G592">
        <v>6816005</v>
      </c>
      <c r="H592" t="s">
        <v>1521</v>
      </c>
      <c r="I592" t="s">
        <v>2416</v>
      </c>
      <c r="J592" t="s">
        <v>56</v>
      </c>
      <c r="K592">
        <v>1</v>
      </c>
      <c r="L592">
        <v>31</v>
      </c>
      <c r="M592">
        <v>2033</v>
      </c>
      <c r="N592" t="s">
        <v>47</v>
      </c>
      <c r="O592" s="5">
        <f>DATE(Tabela1[[#This Row],[vigencia ano]],Tabela1[[#This Row],[vigencia mês]],Tabela1[[#This Row],[vigencia dia]])</f>
        <v>49491</v>
      </c>
    </row>
    <row r="593" spans="1:15" x14ac:dyDescent="0.25">
      <c r="A593" t="s">
        <v>41</v>
      </c>
      <c r="B593" t="s">
        <v>2414</v>
      </c>
      <c r="C593" s="1">
        <v>1610798000156</v>
      </c>
      <c r="D593" t="s">
        <v>2415</v>
      </c>
      <c r="E593" t="s">
        <v>2412</v>
      </c>
      <c r="F593" t="s">
        <v>4</v>
      </c>
      <c r="G593">
        <v>6816005</v>
      </c>
      <c r="H593" t="s">
        <v>2417</v>
      </c>
      <c r="I593" t="s">
        <v>2416</v>
      </c>
      <c r="J593" t="s">
        <v>56</v>
      </c>
      <c r="K593">
        <v>1</v>
      </c>
      <c r="L593">
        <v>31</v>
      </c>
      <c r="M593">
        <v>2033</v>
      </c>
      <c r="N593" t="s">
        <v>47</v>
      </c>
      <c r="O593" s="5">
        <f>DATE(Tabela1[[#This Row],[vigencia ano]],Tabela1[[#This Row],[vigencia mês]],Tabela1[[#This Row],[vigencia dia]])</f>
        <v>49491</v>
      </c>
    </row>
    <row r="594" spans="1:15" x14ac:dyDescent="0.25">
      <c r="A594" t="s">
        <v>41</v>
      </c>
      <c r="B594" t="s">
        <v>2418</v>
      </c>
      <c r="C594" s="1">
        <v>13970839000102</v>
      </c>
      <c r="D594" t="s">
        <v>2419</v>
      </c>
      <c r="E594" t="s">
        <v>2412</v>
      </c>
      <c r="F594" t="s">
        <v>4</v>
      </c>
      <c r="G594">
        <v>6833370</v>
      </c>
      <c r="H594" t="s">
        <v>2420</v>
      </c>
      <c r="I594" t="s">
        <v>2421</v>
      </c>
      <c r="J594" t="s">
        <v>56</v>
      </c>
      <c r="K594">
        <v>10</v>
      </c>
      <c r="L594">
        <v>5</v>
      </c>
      <c r="M594">
        <v>2027</v>
      </c>
      <c r="N594" t="s">
        <v>47</v>
      </c>
      <c r="O594" s="5">
        <f>DATE(Tabela1[[#This Row],[vigencia ano]],Tabela1[[#This Row],[vigencia mês]],Tabela1[[#This Row],[vigencia dia]])</f>
        <v>46517</v>
      </c>
    </row>
    <row r="595" spans="1:15" x14ac:dyDescent="0.25">
      <c r="A595" t="s">
        <v>41</v>
      </c>
      <c r="B595" t="s">
        <v>2422</v>
      </c>
      <c r="C595" s="1">
        <v>23266321000138</v>
      </c>
      <c r="D595" t="s">
        <v>2423</v>
      </c>
      <c r="E595" t="s">
        <v>2412</v>
      </c>
      <c r="F595" t="s">
        <v>4</v>
      </c>
      <c r="G595">
        <v>6840100</v>
      </c>
      <c r="H595" t="s">
        <v>2424</v>
      </c>
      <c r="I595" t="s">
        <v>2425</v>
      </c>
      <c r="J595" t="s">
        <v>56</v>
      </c>
      <c r="K595">
        <v>10</v>
      </c>
      <c r="L595">
        <v>18</v>
      </c>
      <c r="M595">
        <v>2026</v>
      </c>
      <c r="N595" t="s">
        <v>47</v>
      </c>
      <c r="O595" s="5">
        <f>DATE(Tabela1[[#This Row],[vigencia ano]],Tabela1[[#This Row],[vigencia mês]],Tabela1[[#This Row],[vigencia dia]])</f>
        <v>46548</v>
      </c>
    </row>
    <row r="596" spans="1:15" x14ac:dyDescent="0.25">
      <c r="A596" t="s">
        <v>41</v>
      </c>
      <c r="B596" t="s">
        <v>2426</v>
      </c>
      <c r="C596" s="1">
        <v>4547874000114</v>
      </c>
      <c r="D596" t="s">
        <v>2427</v>
      </c>
      <c r="E596" t="s">
        <v>2412</v>
      </c>
      <c r="F596" t="s">
        <v>4</v>
      </c>
      <c r="G596">
        <v>6816050</v>
      </c>
      <c r="H596" t="s">
        <v>2428</v>
      </c>
      <c r="I596" t="s">
        <v>2429</v>
      </c>
      <c r="J596" t="s">
        <v>56</v>
      </c>
      <c r="K596">
        <v>9</v>
      </c>
      <c r="L596">
        <v>5</v>
      </c>
      <c r="M596">
        <v>2022</v>
      </c>
      <c r="N596" t="s">
        <v>47</v>
      </c>
      <c r="O596" s="5">
        <f>DATE(Tabela1[[#This Row],[vigencia ano]],Tabela1[[#This Row],[vigencia mês]],Tabela1[[#This Row],[vigencia dia]])</f>
        <v>44690</v>
      </c>
    </row>
    <row r="597" spans="1:15" x14ac:dyDescent="0.25">
      <c r="A597" t="s">
        <v>41</v>
      </c>
      <c r="B597" t="s">
        <v>2430</v>
      </c>
      <c r="C597" s="1">
        <v>38481737000146</v>
      </c>
      <c r="D597" t="s">
        <v>2431</v>
      </c>
      <c r="E597" t="s">
        <v>2432</v>
      </c>
      <c r="F597" t="s">
        <v>4</v>
      </c>
      <c r="G597">
        <v>11420300</v>
      </c>
      <c r="H597" t="s">
        <v>2433</v>
      </c>
      <c r="I597" t="s">
        <v>2434</v>
      </c>
      <c r="J597" t="s">
        <v>56</v>
      </c>
      <c r="K597">
        <v>4</v>
      </c>
      <c r="L597">
        <v>7</v>
      </c>
      <c r="M597">
        <v>2031</v>
      </c>
      <c r="N597" t="s">
        <v>47</v>
      </c>
      <c r="O597" s="5">
        <f>DATE(Tabela1[[#This Row],[vigencia ano]],Tabela1[[#This Row],[vigencia mês]],Tabela1[[#This Row],[vigencia dia]])</f>
        <v>48033</v>
      </c>
    </row>
    <row r="598" spans="1:15" x14ac:dyDescent="0.25">
      <c r="A598" t="s">
        <v>41</v>
      </c>
      <c r="B598" t="s">
        <v>2435</v>
      </c>
      <c r="C598" s="1">
        <v>41947595000174</v>
      </c>
      <c r="D598" t="s">
        <v>2436</v>
      </c>
      <c r="E598" t="s">
        <v>2432</v>
      </c>
      <c r="F598" t="s">
        <v>4</v>
      </c>
      <c r="G598">
        <v>11454540</v>
      </c>
      <c r="H598" t="s">
        <v>2437</v>
      </c>
      <c r="I598" t="s">
        <v>2438</v>
      </c>
      <c r="J598" t="s">
        <v>56</v>
      </c>
      <c r="K598">
        <v>7</v>
      </c>
      <c r="L598">
        <v>10</v>
      </c>
      <c r="M598">
        <v>2035</v>
      </c>
      <c r="N598" t="s">
        <v>2439</v>
      </c>
      <c r="O598" s="5">
        <f>DATE(Tabela1[[#This Row],[vigencia ano]],Tabela1[[#This Row],[vigencia mês]],Tabela1[[#This Row],[vigencia dia]])</f>
        <v>49589</v>
      </c>
    </row>
    <row r="599" spans="1:15" x14ac:dyDescent="0.25">
      <c r="A599" t="s">
        <v>41</v>
      </c>
      <c r="B599" t="s">
        <v>2440</v>
      </c>
      <c r="C599" s="1">
        <v>39446045000120</v>
      </c>
      <c r="D599" t="s">
        <v>2441</v>
      </c>
      <c r="E599" t="s">
        <v>2442</v>
      </c>
      <c r="F599" t="s">
        <v>4</v>
      </c>
      <c r="G599">
        <v>7240030</v>
      </c>
      <c r="H599" t="s">
        <v>2443</v>
      </c>
      <c r="I599" t="s">
        <v>2444</v>
      </c>
      <c r="J599" t="s">
        <v>56</v>
      </c>
      <c r="K599">
        <v>8</v>
      </c>
      <c r="L599">
        <v>1</v>
      </c>
      <c r="M599">
        <v>2035</v>
      </c>
      <c r="N599" t="s">
        <v>2445</v>
      </c>
      <c r="O599" s="5">
        <f>DATE(Tabela1[[#This Row],[vigencia ano]],Tabela1[[#This Row],[vigencia mês]],Tabela1[[#This Row],[vigencia dia]])</f>
        <v>49317</v>
      </c>
    </row>
    <row r="600" spans="1:15" x14ac:dyDescent="0.25">
      <c r="A600" t="s">
        <v>41</v>
      </c>
      <c r="B600" t="s">
        <v>2446</v>
      </c>
      <c r="C600" s="1">
        <v>14187611000103</v>
      </c>
      <c r="D600" t="s">
        <v>2447</v>
      </c>
      <c r="E600" t="s">
        <v>2442</v>
      </c>
      <c r="F600" t="s">
        <v>4</v>
      </c>
      <c r="G600">
        <v>7051160</v>
      </c>
      <c r="H600" t="s">
        <v>2448</v>
      </c>
      <c r="I600" t="s">
        <v>2449</v>
      </c>
      <c r="J600" t="s">
        <v>56</v>
      </c>
      <c r="K600">
        <v>7</v>
      </c>
      <c r="L600">
        <v>4</v>
      </c>
      <c r="M600">
        <v>2026</v>
      </c>
      <c r="N600" t="s">
        <v>47</v>
      </c>
      <c r="O600" s="5">
        <f>DATE(Tabela1[[#This Row],[vigencia ano]],Tabela1[[#This Row],[vigencia mês]],Tabela1[[#This Row],[vigencia dia]])</f>
        <v>46119</v>
      </c>
    </row>
    <row r="601" spans="1:15" x14ac:dyDescent="0.25">
      <c r="A601" t="s">
        <v>41</v>
      </c>
      <c r="B601" t="s">
        <v>2450</v>
      </c>
      <c r="C601" s="1">
        <v>48740351000165</v>
      </c>
      <c r="D601" t="s">
        <v>2451</v>
      </c>
      <c r="E601" t="s">
        <v>2442</v>
      </c>
      <c r="F601" t="s">
        <v>4</v>
      </c>
      <c r="G601">
        <v>7180903</v>
      </c>
      <c r="H601" t="s">
        <v>2452</v>
      </c>
      <c r="I601" t="s">
        <v>2453</v>
      </c>
      <c r="J601" t="s">
        <v>56</v>
      </c>
      <c r="K601">
        <v>3</v>
      </c>
      <c r="L601">
        <v>24</v>
      </c>
      <c r="M601">
        <v>2035</v>
      </c>
      <c r="N601" t="s">
        <v>2454</v>
      </c>
      <c r="O601" s="5">
        <f>DATE(Tabela1[[#This Row],[vigencia ano]],Tabela1[[#This Row],[vigencia mês]],Tabela1[[#This Row],[vigencia dia]])</f>
        <v>50012</v>
      </c>
    </row>
    <row r="602" spans="1:15" x14ac:dyDescent="0.25">
      <c r="A602" t="s">
        <v>41</v>
      </c>
      <c r="B602" t="s">
        <v>2450</v>
      </c>
      <c r="C602" s="1">
        <v>48740351000165</v>
      </c>
      <c r="D602" t="s">
        <v>2451</v>
      </c>
      <c r="E602" t="s">
        <v>2442</v>
      </c>
      <c r="F602" t="s">
        <v>4</v>
      </c>
      <c r="G602">
        <v>7180903</v>
      </c>
      <c r="H602" t="s">
        <v>2455</v>
      </c>
      <c r="I602" t="s">
        <v>2453</v>
      </c>
      <c r="J602" t="s">
        <v>56</v>
      </c>
      <c r="K602">
        <v>3</v>
      </c>
      <c r="L602">
        <v>24</v>
      </c>
      <c r="M602">
        <v>2035</v>
      </c>
      <c r="N602" t="s">
        <v>2454</v>
      </c>
      <c r="O602" s="5">
        <f>DATE(Tabela1[[#This Row],[vigencia ano]],Tabela1[[#This Row],[vigencia mês]],Tabela1[[#This Row],[vigencia dia]])</f>
        <v>50012</v>
      </c>
    </row>
    <row r="603" spans="1:15" x14ac:dyDescent="0.25">
      <c r="A603" t="s">
        <v>41</v>
      </c>
      <c r="B603" t="s">
        <v>2456</v>
      </c>
      <c r="C603" s="1">
        <v>7577114000148</v>
      </c>
      <c r="D603" t="s">
        <v>2457</v>
      </c>
      <c r="E603" t="s">
        <v>2442</v>
      </c>
      <c r="F603" t="s">
        <v>4</v>
      </c>
      <c r="G603">
        <v>7180000</v>
      </c>
      <c r="H603" t="s">
        <v>2458</v>
      </c>
      <c r="I603" t="s">
        <v>2459</v>
      </c>
      <c r="J603" t="s">
        <v>56</v>
      </c>
      <c r="K603">
        <v>3</v>
      </c>
      <c r="L603">
        <v>31</v>
      </c>
      <c r="M603">
        <v>2035</v>
      </c>
      <c r="N603" t="s">
        <v>2460</v>
      </c>
      <c r="O603" s="5">
        <f>DATE(Tabela1[[#This Row],[vigencia ano]],Tabela1[[#This Row],[vigencia mês]],Tabela1[[#This Row],[vigencia dia]])</f>
        <v>50224</v>
      </c>
    </row>
    <row r="604" spans="1:15" x14ac:dyDescent="0.25">
      <c r="A604" t="s">
        <v>41</v>
      </c>
      <c r="B604" t="s">
        <v>2461</v>
      </c>
      <c r="C604" s="1">
        <v>33810217000116</v>
      </c>
      <c r="D604" t="s">
        <v>2462</v>
      </c>
      <c r="E604" t="s">
        <v>2442</v>
      </c>
      <c r="F604" t="s">
        <v>4</v>
      </c>
      <c r="G604">
        <v>7182170</v>
      </c>
      <c r="H604" t="s">
        <v>2463</v>
      </c>
      <c r="I604" t="s">
        <v>2464</v>
      </c>
      <c r="J604" t="s">
        <v>56</v>
      </c>
      <c r="K604">
        <v>5</v>
      </c>
      <c r="L604">
        <v>15</v>
      </c>
      <c r="M604">
        <v>2030</v>
      </c>
      <c r="N604" t="s">
        <v>47</v>
      </c>
      <c r="O604" s="5">
        <f>DATE(Tabela1[[#This Row],[vigencia ano]],Tabela1[[#This Row],[vigencia mês]],Tabela1[[#This Row],[vigencia dia]])</f>
        <v>47912</v>
      </c>
    </row>
    <row r="605" spans="1:15" x14ac:dyDescent="0.25">
      <c r="A605" t="s">
        <v>41</v>
      </c>
      <c r="B605" t="s">
        <v>2465</v>
      </c>
      <c r="C605" s="1">
        <v>5503873000130</v>
      </c>
      <c r="D605" t="s">
        <v>2466</v>
      </c>
      <c r="E605" t="s">
        <v>2442</v>
      </c>
      <c r="F605" t="s">
        <v>4</v>
      </c>
      <c r="G605">
        <v>7181090</v>
      </c>
      <c r="H605" t="s">
        <v>2463</v>
      </c>
      <c r="I605" t="s">
        <v>2467</v>
      </c>
      <c r="J605" t="s">
        <v>56</v>
      </c>
      <c r="K605">
        <v>11</v>
      </c>
      <c r="L605">
        <v>4</v>
      </c>
      <c r="M605">
        <v>2025</v>
      </c>
      <c r="N605" t="s">
        <v>47</v>
      </c>
      <c r="O605" s="5">
        <f>DATE(Tabela1[[#This Row],[vigencia ano]],Tabela1[[#This Row],[vigencia mês]],Tabela1[[#This Row],[vigencia dia]])</f>
        <v>45758</v>
      </c>
    </row>
    <row r="606" spans="1:15" x14ac:dyDescent="0.25">
      <c r="A606" t="s">
        <v>41</v>
      </c>
      <c r="B606" t="s">
        <v>2468</v>
      </c>
      <c r="C606" s="1">
        <v>5529929000126</v>
      </c>
      <c r="D606" t="s">
        <v>2469</v>
      </c>
      <c r="E606" t="s">
        <v>2442</v>
      </c>
      <c r="F606" t="s">
        <v>4</v>
      </c>
      <c r="G606">
        <v>7023051</v>
      </c>
      <c r="H606" t="s">
        <v>2470</v>
      </c>
      <c r="I606" t="s">
        <v>2471</v>
      </c>
      <c r="J606" t="s">
        <v>56</v>
      </c>
      <c r="K606">
        <v>11</v>
      </c>
      <c r="L606">
        <v>14</v>
      </c>
      <c r="M606">
        <v>2024</v>
      </c>
      <c r="N606" t="s">
        <v>47</v>
      </c>
      <c r="O606" s="5">
        <f>DATE(Tabela1[[#This Row],[vigencia ano]],Tabela1[[#This Row],[vigencia mês]],Tabela1[[#This Row],[vigencia dia]])</f>
        <v>45699</v>
      </c>
    </row>
    <row r="607" spans="1:15" x14ac:dyDescent="0.25">
      <c r="A607" t="s">
        <v>41</v>
      </c>
      <c r="B607" t="s">
        <v>2472</v>
      </c>
      <c r="C607" s="1">
        <v>2038280000152</v>
      </c>
      <c r="D607" t="s">
        <v>2473</v>
      </c>
      <c r="E607" t="s">
        <v>2442</v>
      </c>
      <c r="F607" t="s">
        <v>4</v>
      </c>
      <c r="G607">
        <v>7180060</v>
      </c>
      <c r="H607" t="s">
        <v>2474</v>
      </c>
      <c r="I607" t="s">
        <v>2475</v>
      </c>
      <c r="J607" t="s">
        <v>56</v>
      </c>
      <c r="K607">
        <v>5</v>
      </c>
      <c r="L607">
        <v>20</v>
      </c>
      <c r="M607">
        <v>2023</v>
      </c>
      <c r="N607" t="s">
        <v>47</v>
      </c>
      <c r="O607" s="5">
        <f>DATE(Tabela1[[#This Row],[vigencia ano]],Tabela1[[#This Row],[vigencia mês]],Tabela1[[#This Row],[vigencia dia]])</f>
        <v>45509</v>
      </c>
    </row>
    <row r="608" spans="1:15" x14ac:dyDescent="0.25">
      <c r="A608" t="s">
        <v>41</v>
      </c>
      <c r="B608" t="s">
        <v>2476</v>
      </c>
      <c r="C608" s="1">
        <v>11566293000195</v>
      </c>
      <c r="D608" t="s">
        <v>2477</v>
      </c>
      <c r="E608" t="s">
        <v>2442</v>
      </c>
      <c r="F608" t="s">
        <v>4</v>
      </c>
      <c r="G608">
        <v>7143000</v>
      </c>
      <c r="H608" t="s">
        <v>2478</v>
      </c>
      <c r="I608" t="s">
        <v>2479</v>
      </c>
      <c r="J608" t="s">
        <v>56</v>
      </c>
      <c r="K608">
        <v>3</v>
      </c>
      <c r="L608">
        <v>3</v>
      </c>
      <c r="M608">
        <v>2033</v>
      </c>
      <c r="N608" t="s">
        <v>47</v>
      </c>
      <c r="O608" s="5">
        <f>DATE(Tabela1[[#This Row],[vigencia ano]],Tabela1[[#This Row],[vigencia mês]],Tabela1[[#This Row],[vigencia dia]])</f>
        <v>48641</v>
      </c>
    </row>
    <row r="609" spans="1:15" x14ac:dyDescent="0.25">
      <c r="A609" t="s">
        <v>41</v>
      </c>
      <c r="B609" t="s">
        <v>2480</v>
      </c>
      <c r="C609" s="1">
        <v>3424341000182</v>
      </c>
      <c r="D609" t="s">
        <v>2481</v>
      </c>
      <c r="E609" t="s">
        <v>2442</v>
      </c>
      <c r="F609" t="s">
        <v>4</v>
      </c>
      <c r="G609">
        <v>7223180</v>
      </c>
      <c r="H609" t="s">
        <v>2482</v>
      </c>
      <c r="I609" t="s">
        <v>2483</v>
      </c>
      <c r="J609" t="s">
        <v>56</v>
      </c>
      <c r="K609">
        <v>10</v>
      </c>
      <c r="L609">
        <v>7</v>
      </c>
      <c r="M609">
        <v>2029</v>
      </c>
      <c r="N609" t="s">
        <v>47</v>
      </c>
      <c r="O609" s="5">
        <f>DATE(Tabela1[[#This Row],[vigencia ano]],Tabela1[[#This Row],[vigencia mês]],Tabela1[[#This Row],[vigencia dia]])</f>
        <v>47309</v>
      </c>
    </row>
    <row r="610" spans="1:15" x14ac:dyDescent="0.25">
      <c r="A610" t="s">
        <v>41</v>
      </c>
      <c r="B610" t="s">
        <v>2484</v>
      </c>
      <c r="C610" s="1">
        <v>74271727000140</v>
      </c>
      <c r="D610" t="s">
        <v>2485</v>
      </c>
      <c r="E610" t="s">
        <v>2442</v>
      </c>
      <c r="F610" t="s">
        <v>4</v>
      </c>
      <c r="G610">
        <v>7180000</v>
      </c>
      <c r="H610" t="s">
        <v>2486</v>
      </c>
      <c r="I610" t="s">
        <v>2487</v>
      </c>
      <c r="J610" t="s">
        <v>56</v>
      </c>
      <c r="K610">
        <v>8</v>
      </c>
      <c r="L610">
        <v>28</v>
      </c>
      <c r="M610">
        <v>2033</v>
      </c>
      <c r="N610" t="s">
        <v>47</v>
      </c>
      <c r="O610" s="5">
        <f>DATE(Tabela1[[#This Row],[vigencia ano]],Tabela1[[#This Row],[vigencia mês]],Tabela1[[#This Row],[vigencia dia]])</f>
        <v>49407</v>
      </c>
    </row>
    <row r="611" spans="1:15" x14ac:dyDescent="0.25">
      <c r="A611" t="s">
        <v>41</v>
      </c>
      <c r="B611" t="s">
        <v>2488</v>
      </c>
      <c r="C611" s="1">
        <v>20611012000160</v>
      </c>
      <c r="D611" t="s">
        <v>2489</v>
      </c>
      <c r="E611" t="s">
        <v>2442</v>
      </c>
      <c r="F611" t="s">
        <v>4</v>
      </c>
      <c r="G611">
        <v>7180010</v>
      </c>
      <c r="H611" t="s">
        <v>2490</v>
      </c>
      <c r="I611" t="s">
        <v>2491</v>
      </c>
      <c r="J611" t="s">
        <v>56</v>
      </c>
      <c r="K611">
        <v>4</v>
      </c>
      <c r="L611">
        <v>29</v>
      </c>
      <c r="M611">
        <v>2025</v>
      </c>
      <c r="N611" t="s">
        <v>47</v>
      </c>
      <c r="O611" s="5">
        <f>DATE(Tabela1[[#This Row],[vigencia ano]],Tabela1[[#This Row],[vigencia mês]],Tabela1[[#This Row],[vigencia dia]])</f>
        <v>46511</v>
      </c>
    </row>
    <row r="612" spans="1:15" x14ac:dyDescent="0.25">
      <c r="A612" t="s">
        <v>41</v>
      </c>
      <c r="B612" t="s">
        <v>2492</v>
      </c>
      <c r="C612" s="1">
        <v>17452926000110</v>
      </c>
      <c r="D612" t="s">
        <v>2493</v>
      </c>
      <c r="E612" t="s">
        <v>2442</v>
      </c>
      <c r="F612" t="s">
        <v>4</v>
      </c>
      <c r="G612">
        <v>7196220</v>
      </c>
      <c r="H612" t="s">
        <v>2494</v>
      </c>
      <c r="I612" t="s">
        <v>2495</v>
      </c>
      <c r="J612" t="s">
        <v>56</v>
      </c>
      <c r="K612">
        <v>4</v>
      </c>
      <c r="L612">
        <v>3</v>
      </c>
      <c r="M612">
        <v>2030</v>
      </c>
      <c r="N612" t="s">
        <v>47</v>
      </c>
      <c r="O612" s="5">
        <f>DATE(Tabela1[[#This Row],[vigencia ano]],Tabela1[[#This Row],[vigencia mês]],Tabela1[[#This Row],[vigencia dia]])</f>
        <v>47546</v>
      </c>
    </row>
    <row r="613" spans="1:15" x14ac:dyDescent="0.25">
      <c r="A613" t="s">
        <v>41</v>
      </c>
      <c r="B613" t="s">
        <v>2496</v>
      </c>
      <c r="C613" s="1">
        <v>7546152000133</v>
      </c>
      <c r="D613" t="s">
        <v>2497</v>
      </c>
      <c r="E613" t="s">
        <v>2442</v>
      </c>
      <c r="F613" t="s">
        <v>4</v>
      </c>
      <c r="G613">
        <v>7180170</v>
      </c>
      <c r="H613" t="s">
        <v>2498</v>
      </c>
      <c r="I613" t="s">
        <v>2499</v>
      </c>
      <c r="J613" t="s">
        <v>56</v>
      </c>
      <c r="K613">
        <v>8</v>
      </c>
      <c r="L613">
        <v>15</v>
      </c>
      <c r="M613">
        <v>2034</v>
      </c>
      <c r="N613" t="s">
        <v>47</v>
      </c>
      <c r="O613" s="5">
        <f>DATE(Tabela1[[#This Row],[vigencia ano]],Tabela1[[#This Row],[vigencia mês]],Tabela1[[#This Row],[vigencia dia]])</f>
        <v>49376</v>
      </c>
    </row>
    <row r="614" spans="1:15" x14ac:dyDescent="0.25">
      <c r="A614" t="s">
        <v>41</v>
      </c>
      <c r="B614" t="s">
        <v>2500</v>
      </c>
      <c r="C614" s="1">
        <v>7157367000162</v>
      </c>
      <c r="D614" t="s">
        <v>2501</v>
      </c>
      <c r="E614" t="s">
        <v>2442</v>
      </c>
      <c r="F614" t="s">
        <v>4</v>
      </c>
      <c r="G614">
        <v>7121170</v>
      </c>
      <c r="H614" t="s">
        <v>2502</v>
      </c>
      <c r="I614" t="s">
        <v>2503</v>
      </c>
      <c r="J614" t="s">
        <v>56</v>
      </c>
      <c r="K614">
        <v>9</v>
      </c>
      <c r="L614">
        <v>11</v>
      </c>
      <c r="M614">
        <v>2033</v>
      </c>
      <c r="N614" t="s">
        <v>47</v>
      </c>
      <c r="O614" s="5">
        <f>DATE(Tabela1[[#This Row],[vigencia ano]],Tabela1[[#This Row],[vigencia mês]],Tabela1[[#This Row],[vigencia dia]])</f>
        <v>48892</v>
      </c>
    </row>
    <row r="615" spans="1:15" x14ac:dyDescent="0.25">
      <c r="A615" t="s">
        <v>41</v>
      </c>
      <c r="B615" t="s">
        <v>2504</v>
      </c>
      <c r="C615" s="1">
        <v>42220983000111</v>
      </c>
      <c r="D615" t="s">
        <v>2505</v>
      </c>
      <c r="E615" t="s">
        <v>2442</v>
      </c>
      <c r="F615" t="s">
        <v>4</v>
      </c>
      <c r="G615">
        <v>7120040</v>
      </c>
      <c r="H615" t="s">
        <v>2506</v>
      </c>
      <c r="I615" t="s">
        <v>2507</v>
      </c>
      <c r="J615" t="s">
        <v>56</v>
      </c>
      <c r="K615">
        <v>3</v>
      </c>
      <c r="L615">
        <v>14</v>
      </c>
      <c r="M615">
        <v>2032</v>
      </c>
      <c r="N615" t="s">
        <v>47</v>
      </c>
      <c r="O615" s="5">
        <f>DATE(Tabela1[[#This Row],[vigencia ano]],Tabela1[[#This Row],[vigencia mês]],Tabela1[[#This Row],[vigencia dia]])</f>
        <v>48613</v>
      </c>
    </row>
    <row r="616" spans="1:15" x14ac:dyDescent="0.25">
      <c r="A616" t="s">
        <v>41</v>
      </c>
      <c r="B616" t="s">
        <v>2508</v>
      </c>
      <c r="C616" s="1">
        <v>48060297000107</v>
      </c>
      <c r="D616" t="s">
        <v>2509</v>
      </c>
      <c r="E616" t="s">
        <v>2442</v>
      </c>
      <c r="F616" t="s">
        <v>4</v>
      </c>
      <c r="G616">
        <v>7140010</v>
      </c>
      <c r="H616" t="s">
        <v>2510</v>
      </c>
      <c r="I616" t="s">
        <v>2511</v>
      </c>
      <c r="J616" t="s">
        <v>56</v>
      </c>
      <c r="K616">
        <v>5</v>
      </c>
      <c r="L616">
        <v>26</v>
      </c>
      <c r="M616">
        <v>2025</v>
      </c>
      <c r="N616" t="s">
        <v>47</v>
      </c>
      <c r="O616" s="5">
        <f>DATE(Tabela1[[#This Row],[vigencia ano]],Tabela1[[#This Row],[vigencia mês]],Tabela1[[#This Row],[vigencia dia]])</f>
        <v>46423</v>
      </c>
    </row>
    <row r="617" spans="1:15" x14ac:dyDescent="0.25">
      <c r="A617" t="s">
        <v>41</v>
      </c>
      <c r="B617" t="s">
        <v>2512</v>
      </c>
      <c r="C617" s="1">
        <v>44797130000172</v>
      </c>
      <c r="D617" t="s">
        <v>2513</v>
      </c>
      <c r="E617" t="s">
        <v>2442</v>
      </c>
      <c r="F617" t="s">
        <v>4</v>
      </c>
      <c r="G617">
        <v>7141040</v>
      </c>
      <c r="H617" t="s">
        <v>2514</v>
      </c>
      <c r="I617" t="s">
        <v>2515</v>
      </c>
      <c r="J617" t="s">
        <v>56</v>
      </c>
      <c r="K617">
        <v>6</v>
      </c>
      <c r="L617">
        <v>21</v>
      </c>
      <c r="M617">
        <v>2032</v>
      </c>
      <c r="N617" t="s">
        <v>47</v>
      </c>
      <c r="O617" s="5">
        <f>DATE(Tabela1[[#This Row],[vigencia ano]],Tabela1[[#This Row],[vigencia mês]],Tabela1[[#This Row],[vigencia dia]])</f>
        <v>48828</v>
      </c>
    </row>
    <row r="618" spans="1:15" x14ac:dyDescent="0.25">
      <c r="A618" t="s">
        <v>41</v>
      </c>
      <c r="B618" t="s">
        <v>2516</v>
      </c>
      <c r="C618" s="1">
        <v>24768036000188</v>
      </c>
      <c r="D618" t="s">
        <v>2517</v>
      </c>
      <c r="E618" t="s">
        <v>2442</v>
      </c>
      <c r="F618" t="s">
        <v>4</v>
      </c>
      <c r="G618">
        <v>7111080</v>
      </c>
      <c r="H618" t="s">
        <v>2518</v>
      </c>
      <c r="I618" t="s">
        <v>2519</v>
      </c>
      <c r="J618" t="s">
        <v>56</v>
      </c>
      <c r="K618">
        <v>5</v>
      </c>
      <c r="L618">
        <v>9</v>
      </c>
      <c r="M618">
        <v>2032</v>
      </c>
      <c r="N618" t="s">
        <v>47</v>
      </c>
      <c r="O618" s="5">
        <f>DATE(Tabela1[[#This Row],[vigencia ano]],Tabela1[[#This Row],[vigencia mês]],Tabela1[[#This Row],[vigencia dia]])</f>
        <v>48462</v>
      </c>
    </row>
    <row r="619" spans="1:15" x14ac:dyDescent="0.25">
      <c r="A619" t="s">
        <v>41</v>
      </c>
      <c r="B619" t="s">
        <v>2516</v>
      </c>
      <c r="C619" s="1">
        <v>24768036000188</v>
      </c>
      <c r="D619" t="s">
        <v>2517</v>
      </c>
      <c r="E619" t="s">
        <v>2442</v>
      </c>
      <c r="F619" t="s">
        <v>4</v>
      </c>
      <c r="G619">
        <v>7111080</v>
      </c>
      <c r="H619" t="s">
        <v>2520</v>
      </c>
      <c r="I619" t="s">
        <v>2519</v>
      </c>
      <c r="J619" t="s">
        <v>56</v>
      </c>
      <c r="K619">
        <v>5</v>
      </c>
      <c r="L619">
        <v>9</v>
      </c>
      <c r="M619">
        <v>2032</v>
      </c>
      <c r="N619" t="s">
        <v>47</v>
      </c>
      <c r="O619" s="5">
        <f>DATE(Tabela1[[#This Row],[vigencia ano]],Tabela1[[#This Row],[vigencia mês]],Tabela1[[#This Row],[vigencia dia]])</f>
        <v>48462</v>
      </c>
    </row>
    <row r="620" spans="1:15" x14ac:dyDescent="0.25">
      <c r="A620" t="s">
        <v>41</v>
      </c>
      <c r="B620" t="s">
        <v>2521</v>
      </c>
      <c r="C620" s="1">
        <v>28985079000178</v>
      </c>
      <c r="D620" t="s">
        <v>2522</v>
      </c>
      <c r="E620" t="s">
        <v>2442</v>
      </c>
      <c r="F620" t="s">
        <v>4</v>
      </c>
      <c r="G620">
        <v>7174005</v>
      </c>
      <c r="H620" t="s">
        <v>2523</v>
      </c>
      <c r="I620" t="s">
        <v>2524</v>
      </c>
      <c r="J620" t="s">
        <v>56</v>
      </c>
      <c r="K620">
        <v>12</v>
      </c>
      <c r="L620">
        <v>17</v>
      </c>
      <c r="M620">
        <v>2031</v>
      </c>
      <c r="N620" t="s">
        <v>47</v>
      </c>
      <c r="O620" s="5">
        <f>DATE(Tabela1[[#This Row],[vigencia ano]],Tabela1[[#This Row],[vigencia mês]],Tabela1[[#This Row],[vigencia dia]])</f>
        <v>48346</v>
      </c>
    </row>
    <row r="621" spans="1:15" x14ac:dyDescent="0.25">
      <c r="A621" t="s">
        <v>41</v>
      </c>
      <c r="B621" t="s">
        <v>2525</v>
      </c>
      <c r="C621" s="1">
        <v>10329139000137</v>
      </c>
      <c r="D621" t="s">
        <v>2526</v>
      </c>
      <c r="E621" t="s">
        <v>2442</v>
      </c>
      <c r="F621" t="s">
        <v>4</v>
      </c>
      <c r="G621">
        <v>7263190</v>
      </c>
      <c r="H621" t="s">
        <v>2527</v>
      </c>
      <c r="I621" t="s">
        <v>2528</v>
      </c>
      <c r="J621" t="s">
        <v>56</v>
      </c>
      <c r="K621">
        <v>1</v>
      </c>
      <c r="L621">
        <v>27</v>
      </c>
      <c r="M621">
        <v>2030</v>
      </c>
      <c r="N621" t="s">
        <v>47</v>
      </c>
      <c r="O621" s="5">
        <f>DATE(Tabela1[[#This Row],[vigencia ano]],Tabela1[[#This Row],[vigencia mês]],Tabela1[[#This Row],[vigencia dia]])</f>
        <v>48274</v>
      </c>
    </row>
    <row r="622" spans="1:15" x14ac:dyDescent="0.25">
      <c r="A622" t="s">
        <v>41</v>
      </c>
      <c r="B622" t="s">
        <v>2529</v>
      </c>
      <c r="C622" s="1">
        <v>12136415000176</v>
      </c>
      <c r="D622" t="s">
        <v>2530</v>
      </c>
      <c r="E622" t="s">
        <v>2442</v>
      </c>
      <c r="F622" t="s">
        <v>4</v>
      </c>
      <c r="G622">
        <v>7271360</v>
      </c>
      <c r="H622" t="s">
        <v>2531</v>
      </c>
      <c r="I622" t="s">
        <v>2532</v>
      </c>
      <c r="J622" t="s">
        <v>46</v>
      </c>
      <c r="K622">
        <v>3</v>
      </c>
      <c r="L622">
        <v>23</v>
      </c>
      <c r="M622">
        <v>2033</v>
      </c>
      <c r="N622" t="s">
        <v>47</v>
      </c>
      <c r="O622" s="5">
        <f>DATE(Tabela1[[#This Row],[vigencia ano]],Tabela1[[#This Row],[vigencia mês]],Tabela1[[#This Row],[vigencia dia]])</f>
        <v>49251</v>
      </c>
    </row>
    <row r="623" spans="1:15" x14ac:dyDescent="0.25">
      <c r="A623" t="s">
        <v>41</v>
      </c>
      <c r="B623" t="s">
        <v>2533</v>
      </c>
      <c r="C623" s="1">
        <v>8098211000110</v>
      </c>
      <c r="D623" t="s">
        <v>2534</v>
      </c>
      <c r="E623" t="s">
        <v>2442</v>
      </c>
      <c r="F623" t="s">
        <v>4</v>
      </c>
      <c r="G623">
        <v>7182060</v>
      </c>
      <c r="H623" t="s">
        <v>2535</v>
      </c>
      <c r="I623" t="s">
        <v>2536</v>
      </c>
      <c r="J623" t="s">
        <v>56</v>
      </c>
      <c r="K623">
        <v>5</v>
      </c>
      <c r="L623">
        <v>14</v>
      </c>
      <c r="M623">
        <v>2034</v>
      </c>
      <c r="N623" t="s">
        <v>47</v>
      </c>
      <c r="O623" s="5">
        <f>DATE(Tabela1[[#This Row],[vigencia ano]],Tabela1[[#This Row],[vigencia mês]],Tabela1[[#This Row],[vigencia dia]])</f>
        <v>49345</v>
      </c>
    </row>
    <row r="624" spans="1:15" x14ac:dyDescent="0.25">
      <c r="A624" t="s">
        <v>41</v>
      </c>
      <c r="B624" t="s">
        <v>2537</v>
      </c>
      <c r="C624" s="1">
        <v>61102778000872</v>
      </c>
      <c r="D624" t="s">
        <v>2538</v>
      </c>
      <c r="E624" t="s">
        <v>2442</v>
      </c>
      <c r="F624" t="s">
        <v>4</v>
      </c>
      <c r="G624">
        <v>7250130</v>
      </c>
      <c r="H624" t="s">
        <v>2539</v>
      </c>
      <c r="I624" t="s">
        <v>2540</v>
      </c>
      <c r="J624" t="s">
        <v>56</v>
      </c>
      <c r="K624">
        <v>12</v>
      </c>
      <c r="L624">
        <v>30</v>
      </c>
      <c r="M624">
        <v>2034</v>
      </c>
      <c r="N624" t="s">
        <v>47</v>
      </c>
      <c r="O624" s="5">
        <f>DATE(Tabela1[[#This Row],[vigencia ano]],Tabela1[[#This Row],[vigencia mês]],Tabela1[[#This Row],[vigencia dia]])</f>
        <v>49838</v>
      </c>
    </row>
    <row r="625" spans="1:15" x14ac:dyDescent="0.25">
      <c r="A625" t="s">
        <v>41</v>
      </c>
      <c r="B625" t="s">
        <v>2541</v>
      </c>
      <c r="C625" s="1">
        <v>13407453000189</v>
      </c>
      <c r="D625" t="s">
        <v>2542</v>
      </c>
      <c r="E625" t="s">
        <v>2442</v>
      </c>
      <c r="F625" t="s">
        <v>4</v>
      </c>
      <c r="G625">
        <v>7263190</v>
      </c>
      <c r="H625" t="s">
        <v>2543</v>
      </c>
      <c r="I625" t="s">
        <v>2544</v>
      </c>
      <c r="J625" t="s">
        <v>56</v>
      </c>
      <c r="K625">
        <v>7</v>
      </c>
      <c r="L625">
        <v>9</v>
      </c>
      <c r="M625">
        <v>2034</v>
      </c>
      <c r="N625" t="s">
        <v>47</v>
      </c>
      <c r="O625" s="5">
        <f>DATE(Tabela1[[#This Row],[vigencia ano]],Tabela1[[#This Row],[vigencia mês]],Tabela1[[#This Row],[vigencia dia]])</f>
        <v>49194</v>
      </c>
    </row>
    <row r="626" spans="1:15" x14ac:dyDescent="0.25">
      <c r="A626" t="s">
        <v>41</v>
      </c>
      <c r="B626" t="s">
        <v>2545</v>
      </c>
      <c r="C626" s="1">
        <v>8975455000134</v>
      </c>
      <c r="D626" t="s">
        <v>2546</v>
      </c>
      <c r="E626" t="s">
        <v>2442</v>
      </c>
      <c r="F626" t="s">
        <v>4</v>
      </c>
      <c r="G626">
        <v>7263190</v>
      </c>
      <c r="H626" t="s">
        <v>2543</v>
      </c>
      <c r="I626" t="s">
        <v>2547</v>
      </c>
      <c r="J626" t="s">
        <v>56</v>
      </c>
      <c r="K626">
        <v>11</v>
      </c>
      <c r="L626">
        <v>9</v>
      </c>
      <c r="M626">
        <v>2033</v>
      </c>
      <c r="N626" t="s">
        <v>47</v>
      </c>
      <c r="O626" s="5">
        <f>DATE(Tabela1[[#This Row],[vigencia ano]],Tabela1[[#This Row],[vigencia mês]],Tabela1[[#This Row],[vigencia dia]])</f>
        <v>48833</v>
      </c>
    </row>
    <row r="627" spans="1:15" x14ac:dyDescent="0.25">
      <c r="A627" t="s">
        <v>41</v>
      </c>
      <c r="B627" t="s">
        <v>2548</v>
      </c>
      <c r="C627" s="1">
        <v>34292222000147</v>
      </c>
      <c r="D627" t="s">
        <v>2549</v>
      </c>
      <c r="E627" t="s">
        <v>2442</v>
      </c>
      <c r="F627" t="s">
        <v>4</v>
      </c>
      <c r="G627">
        <v>7140040</v>
      </c>
      <c r="H627" t="s">
        <v>2550</v>
      </c>
      <c r="I627" t="s">
        <v>2551</v>
      </c>
      <c r="J627" t="s">
        <v>56</v>
      </c>
      <c r="K627">
        <v>7</v>
      </c>
      <c r="L627">
        <v>26</v>
      </c>
      <c r="M627">
        <v>2032</v>
      </c>
      <c r="N627" t="s">
        <v>47</v>
      </c>
      <c r="O627" s="5">
        <f>DATE(Tabela1[[#This Row],[vigencia ano]],Tabela1[[#This Row],[vigencia mês]],Tabela1[[#This Row],[vigencia dia]])</f>
        <v>48982</v>
      </c>
    </row>
    <row r="628" spans="1:15" x14ac:dyDescent="0.25">
      <c r="A628" t="s">
        <v>41</v>
      </c>
      <c r="B628" t="s">
        <v>2552</v>
      </c>
      <c r="C628" s="1">
        <v>52438082000154</v>
      </c>
      <c r="D628" t="s">
        <v>2553</v>
      </c>
      <c r="E628" t="s">
        <v>2442</v>
      </c>
      <c r="F628" t="s">
        <v>4</v>
      </c>
      <c r="G628">
        <v>7112100</v>
      </c>
      <c r="H628" t="s">
        <v>2554</v>
      </c>
      <c r="I628" t="s">
        <v>2555</v>
      </c>
      <c r="J628" t="s">
        <v>56</v>
      </c>
      <c r="K628">
        <v>4</v>
      </c>
      <c r="L628">
        <v>18</v>
      </c>
      <c r="M628">
        <v>2033</v>
      </c>
      <c r="N628" t="s">
        <v>47</v>
      </c>
      <c r="O628" s="5">
        <f>DATE(Tabela1[[#This Row],[vigencia ano]],Tabela1[[#This Row],[vigencia mês]],Tabela1[[#This Row],[vigencia dia]])</f>
        <v>49099</v>
      </c>
    </row>
    <row r="629" spans="1:15" x14ac:dyDescent="0.25">
      <c r="A629" t="s">
        <v>41</v>
      </c>
      <c r="B629" t="s">
        <v>2552</v>
      </c>
      <c r="C629" s="1">
        <v>52438082000154</v>
      </c>
      <c r="D629" t="s">
        <v>2553</v>
      </c>
      <c r="E629" t="s">
        <v>2442</v>
      </c>
      <c r="F629" t="s">
        <v>4</v>
      </c>
      <c r="G629">
        <v>7112100</v>
      </c>
      <c r="H629" t="s">
        <v>2556</v>
      </c>
      <c r="I629" t="s">
        <v>2555</v>
      </c>
      <c r="J629" t="s">
        <v>56</v>
      </c>
      <c r="K629">
        <v>4</v>
      </c>
      <c r="L629">
        <v>18</v>
      </c>
      <c r="M629">
        <v>2033</v>
      </c>
      <c r="N629" t="s">
        <v>47</v>
      </c>
      <c r="O629" s="5">
        <f>DATE(Tabela1[[#This Row],[vigencia ano]],Tabela1[[#This Row],[vigencia mês]],Tabela1[[#This Row],[vigencia dia]])</f>
        <v>49099</v>
      </c>
    </row>
    <row r="630" spans="1:15" x14ac:dyDescent="0.25">
      <c r="A630" t="s">
        <v>41</v>
      </c>
      <c r="B630" t="s">
        <v>2557</v>
      </c>
      <c r="C630" s="1">
        <v>2895964000170</v>
      </c>
      <c r="D630" t="s">
        <v>2558</v>
      </c>
      <c r="E630" t="s">
        <v>2442</v>
      </c>
      <c r="F630" t="s">
        <v>4</v>
      </c>
      <c r="G630">
        <v>7182120</v>
      </c>
      <c r="H630" t="s">
        <v>2559</v>
      </c>
      <c r="I630" t="s">
        <v>2560</v>
      </c>
      <c r="J630" t="s">
        <v>46</v>
      </c>
      <c r="K630">
        <v>8</v>
      </c>
      <c r="L630">
        <v>5</v>
      </c>
      <c r="M630">
        <v>2034</v>
      </c>
      <c r="N630" t="s">
        <v>47</v>
      </c>
      <c r="O630" s="5">
        <f>DATE(Tabela1[[#This Row],[vigencia ano]],Tabela1[[#This Row],[vigencia mês]],Tabela1[[#This Row],[vigencia dia]])</f>
        <v>49072</v>
      </c>
    </row>
    <row r="631" spans="1:15" x14ac:dyDescent="0.25">
      <c r="A631" t="s">
        <v>41</v>
      </c>
      <c r="B631" t="s">
        <v>2561</v>
      </c>
      <c r="C631" s="1">
        <v>13762882000255</v>
      </c>
      <c r="D631" t="s">
        <v>2562</v>
      </c>
      <c r="E631" t="s">
        <v>2442</v>
      </c>
      <c r="F631" t="s">
        <v>4</v>
      </c>
      <c r="G631">
        <v>9171010</v>
      </c>
      <c r="H631" t="s">
        <v>2563</v>
      </c>
      <c r="I631" t="s">
        <v>2564</v>
      </c>
      <c r="J631" t="s">
        <v>56</v>
      </c>
      <c r="K631">
        <v>3</v>
      </c>
      <c r="L631">
        <v>21</v>
      </c>
      <c r="M631">
        <v>2032</v>
      </c>
      <c r="N631" t="s">
        <v>47</v>
      </c>
      <c r="O631" s="5">
        <f>DATE(Tabela1[[#This Row],[vigencia ano]],Tabela1[[#This Row],[vigencia mês]],Tabela1[[#This Row],[vigencia dia]])</f>
        <v>48825</v>
      </c>
    </row>
    <row r="632" spans="1:15" x14ac:dyDescent="0.25">
      <c r="A632" t="s">
        <v>41</v>
      </c>
      <c r="B632" t="s">
        <v>2565</v>
      </c>
      <c r="C632" s="1">
        <v>60319985000144</v>
      </c>
      <c r="D632" t="s">
        <v>2566</v>
      </c>
      <c r="E632" t="s">
        <v>2442</v>
      </c>
      <c r="F632" t="s">
        <v>4</v>
      </c>
      <c r="G632">
        <v>7224120</v>
      </c>
      <c r="H632" t="s">
        <v>2567</v>
      </c>
      <c r="I632" t="s">
        <v>2568</v>
      </c>
      <c r="J632" t="s">
        <v>56</v>
      </c>
      <c r="K632">
        <v>12</v>
      </c>
      <c r="L632">
        <v>30</v>
      </c>
      <c r="M632">
        <v>2031</v>
      </c>
      <c r="N632" t="s">
        <v>47</v>
      </c>
      <c r="O632" s="5">
        <f>DATE(Tabela1[[#This Row],[vigencia ano]],Tabela1[[#This Row],[vigencia mês]],Tabela1[[#This Row],[vigencia dia]])</f>
        <v>48742</v>
      </c>
    </row>
    <row r="633" spans="1:15" x14ac:dyDescent="0.25">
      <c r="A633" t="s">
        <v>41</v>
      </c>
      <c r="B633" t="s">
        <v>2565</v>
      </c>
      <c r="C633" s="1">
        <v>60319985000144</v>
      </c>
      <c r="D633" t="s">
        <v>2566</v>
      </c>
      <c r="E633" t="s">
        <v>2442</v>
      </c>
      <c r="F633" t="s">
        <v>4</v>
      </c>
      <c r="G633">
        <v>7224120</v>
      </c>
      <c r="H633" t="s">
        <v>2569</v>
      </c>
      <c r="I633" t="s">
        <v>2568</v>
      </c>
      <c r="J633" t="s">
        <v>56</v>
      </c>
      <c r="K633">
        <v>12</v>
      </c>
      <c r="L633">
        <v>30</v>
      </c>
      <c r="M633">
        <v>2031</v>
      </c>
      <c r="N633" t="s">
        <v>47</v>
      </c>
      <c r="O633" s="5">
        <f>DATE(Tabela1[[#This Row],[vigencia ano]],Tabela1[[#This Row],[vigencia mês]],Tabela1[[#This Row],[vigencia dia]])</f>
        <v>48742</v>
      </c>
    </row>
    <row r="634" spans="1:15" x14ac:dyDescent="0.25">
      <c r="A634" t="s">
        <v>41</v>
      </c>
      <c r="B634" t="s">
        <v>2570</v>
      </c>
      <c r="C634" s="1">
        <v>909998000141</v>
      </c>
      <c r="D634" t="s">
        <v>2571</v>
      </c>
      <c r="E634" t="s">
        <v>2442</v>
      </c>
      <c r="F634" t="s">
        <v>4</v>
      </c>
      <c r="G634">
        <v>7220050</v>
      </c>
      <c r="H634" t="s">
        <v>2572</v>
      </c>
      <c r="I634" t="s">
        <v>2573</v>
      </c>
      <c r="J634" t="s">
        <v>46</v>
      </c>
      <c r="K634">
        <v>3</v>
      </c>
      <c r="L634">
        <v>14</v>
      </c>
      <c r="M634">
        <v>2034</v>
      </c>
      <c r="N634" t="s">
        <v>47</v>
      </c>
      <c r="O634" s="5">
        <f>DATE(Tabela1[[#This Row],[vigencia ano]],Tabela1[[#This Row],[vigencia mês]],Tabela1[[#This Row],[vigencia dia]])</f>
        <v>49343</v>
      </c>
    </row>
    <row r="635" spans="1:15" x14ac:dyDescent="0.25">
      <c r="A635" t="s">
        <v>41</v>
      </c>
      <c r="B635" t="s">
        <v>2570</v>
      </c>
      <c r="C635" s="1">
        <v>909998000141</v>
      </c>
      <c r="D635" t="s">
        <v>2571</v>
      </c>
      <c r="E635" t="s">
        <v>2442</v>
      </c>
      <c r="F635" t="s">
        <v>4</v>
      </c>
      <c r="G635">
        <v>7220050</v>
      </c>
      <c r="H635" t="s">
        <v>2574</v>
      </c>
      <c r="I635" t="s">
        <v>2573</v>
      </c>
      <c r="J635" t="s">
        <v>46</v>
      </c>
      <c r="K635">
        <v>3</v>
      </c>
      <c r="L635">
        <v>14</v>
      </c>
      <c r="M635">
        <v>2034</v>
      </c>
      <c r="N635" t="s">
        <v>47</v>
      </c>
      <c r="O635" s="5">
        <f>DATE(Tabela1[[#This Row],[vigencia ano]],Tabela1[[#This Row],[vigencia mês]],Tabela1[[#This Row],[vigencia dia]])</f>
        <v>49343</v>
      </c>
    </row>
    <row r="636" spans="1:15" x14ac:dyDescent="0.25">
      <c r="A636" t="s">
        <v>41</v>
      </c>
      <c r="B636" t="s">
        <v>2575</v>
      </c>
      <c r="C636" s="1">
        <v>5342379000131</v>
      </c>
      <c r="D636" t="s">
        <v>2576</v>
      </c>
      <c r="E636" t="s">
        <v>2442</v>
      </c>
      <c r="F636" t="s">
        <v>4</v>
      </c>
      <c r="G636">
        <v>7140030</v>
      </c>
      <c r="H636" t="s">
        <v>2577</v>
      </c>
      <c r="I636" t="s">
        <v>2578</v>
      </c>
      <c r="J636" t="s">
        <v>56</v>
      </c>
      <c r="K636">
        <v>4</v>
      </c>
      <c r="L636">
        <v>15</v>
      </c>
      <c r="M636">
        <v>2031</v>
      </c>
      <c r="N636" t="s">
        <v>47</v>
      </c>
      <c r="O636" s="5">
        <f>DATE(Tabela1[[#This Row],[vigencia ano]],Tabela1[[#This Row],[vigencia mês]],Tabela1[[#This Row],[vigencia dia]])</f>
        <v>48277</v>
      </c>
    </row>
    <row r="637" spans="1:15" x14ac:dyDescent="0.25">
      <c r="A637" t="s">
        <v>41</v>
      </c>
      <c r="B637" t="s">
        <v>2579</v>
      </c>
      <c r="C637" s="1">
        <v>10524538000159</v>
      </c>
      <c r="D637" t="s">
        <v>2580</v>
      </c>
      <c r="E637" t="s">
        <v>2442</v>
      </c>
      <c r="F637" t="s">
        <v>4</v>
      </c>
      <c r="G637">
        <v>7180000</v>
      </c>
      <c r="H637" t="s">
        <v>2577</v>
      </c>
      <c r="I637" t="s">
        <v>2581</v>
      </c>
      <c r="J637" t="s">
        <v>56</v>
      </c>
      <c r="K637">
        <v>7</v>
      </c>
      <c r="L637">
        <v>17</v>
      </c>
      <c r="M637">
        <v>2023</v>
      </c>
      <c r="N637" t="s">
        <v>47</v>
      </c>
      <c r="O637" s="5">
        <f>DATE(Tabela1[[#This Row],[vigencia ano]],Tabela1[[#This Row],[vigencia mês]],Tabela1[[#This Row],[vigencia dia]])</f>
        <v>45419</v>
      </c>
    </row>
    <row r="638" spans="1:15" x14ac:dyDescent="0.25">
      <c r="A638" t="s">
        <v>41</v>
      </c>
      <c r="B638" t="s">
        <v>2582</v>
      </c>
      <c r="C638" s="1">
        <v>3558055000100</v>
      </c>
      <c r="D638" t="s">
        <v>2583</v>
      </c>
      <c r="E638" t="s">
        <v>2442</v>
      </c>
      <c r="F638" t="s">
        <v>4</v>
      </c>
      <c r="G638">
        <v>7044220</v>
      </c>
      <c r="H638" t="s">
        <v>2584</v>
      </c>
      <c r="I638" t="s">
        <v>2585</v>
      </c>
      <c r="J638" t="s">
        <v>56</v>
      </c>
      <c r="K638">
        <v>11</v>
      </c>
      <c r="L638">
        <v>22</v>
      </c>
      <c r="M638">
        <v>2026</v>
      </c>
      <c r="N638" t="s">
        <v>47</v>
      </c>
      <c r="O638" s="5">
        <f>DATE(Tabela1[[#This Row],[vigencia ano]],Tabela1[[#This Row],[vigencia mês]],Tabela1[[#This Row],[vigencia dia]])</f>
        <v>46671</v>
      </c>
    </row>
    <row r="639" spans="1:15" x14ac:dyDescent="0.25">
      <c r="A639" t="s">
        <v>41</v>
      </c>
      <c r="B639" t="s">
        <v>2586</v>
      </c>
      <c r="C639" s="1">
        <v>14702354000192</v>
      </c>
      <c r="D639" t="s">
        <v>2587</v>
      </c>
      <c r="E639" t="s">
        <v>2442</v>
      </c>
      <c r="F639" t="s">
        <v>4</v>
      </c>
      <c r="G639">
        <v>7044220</v>
      </c>
      <c r="H639" t="s">
        <v>2588</v>
      </c>
      <c r="I639" t="s">
        <v>2589</v>
      </c>
      <c r="J639" t="s">
        <v>56</v>
      </c>
      <c r="K639">
        <v>6</v>
      </c>
      <c r="L639">
        <v>19</v>
      </c>
      <c r="M639">
        <v>2027</v>
      </c>
      <c r="N639" t="s">
        <v>47</v>
      </c>
      <c r="O639" s="5">
        <f>DATE(Tabela1[[#This Row],[vigencia ano]],Tabela1[[#This Row],[vigencia mês]],Tabela1[[#This Row],[vigencia dia]])</f>
        <v>46940</v>
      </c>
    </row>
    <row r="640" spans="1:15" x14ac:dyDescent="0.25">
      <c r="A640" t="s">
        <v>41</v>
      </c>
      <c r="B640" t="s">
        <v>2590</v>
      </c>
      <c r="C640" s="1">
        <v>39124797000174</v>
      </c>
      <c r="D640" t="s">
        <v>2591</v>
      </c>
      <c r="E640" t="s">
        <v>2442</v>
      </c>
      <c r="F640" t="s">
        <v>4</v>
      </c>
      <c r="G640">
        <v>7220030</v>
      </c>
      <c r="H640" t="s">
        <v>2592</v>
      </c>
      <c r="I640" t="s">
        <v>2593</v>
      </c>
      <c r="J640" t="s">
        <v>56</v>
      </c>
      <c r="K640">
        <v>7</v>
      </c>
      <c r="L640">
        <v>28</v>
      </c>
      <c r="M640">
        <v>2026</v>
      </c>
      <c r="N640" t="s">
        <v>47</v>
      </c>
      <c r="O640" s="5">
        <f>DATE(Tabela1[[#This Row],[vigencia ano]],Tabela1[[#This Row],[vigencia mês]],Tabela1[[#This Row],[vigencia dia]])</f>
        <v>46850</v>
      </c>
    </row>
    <row r="641" spans="1:15" x14ac:dyDescent="0.25">
      <c r="A641" t="s">
        <v>41</v>
      </c>
      <c r="B641" t="s">
        <v>2594</v>
      </c>
      <c r="C641" s="1">
        <v>8455211000120</v>
      </c>
      <c r="D641" t="s">
        <v>2595</v>
      </c>
      <c r="E641" t="s">
        <v>2442</v>
      </c>
      <c r="F641" t="s">
        <v>4</v>
      </c>
      <c r="G641">
        <v>7240000</v>
      </c>
      <c r="H641" t="s">
        <v>2596</v>
      </c>
      <c r="I641" t="s">
        <v>2597</v>
      </c>
      <c r="J641" t="s">
        <v>46</v>
      </c>
      <c r="K641">
        <v>9</v>
      </c>
      <c r="L641">
        <v>8</v>
      </c>
      <c r="M641">
        <v>2033</v>
      </c>
      <c r="N641" t="s">
        <v>47</v>
      </c>
      <c r="O641" s="5">
        <f>DATE(Tabela1[[#This Row],[vigencia ano]],Tabela1[[#This Row],[vigencia mês]],Tabela1[[#This Row],[vigencia dia]])</f>
        <v>48800</v>
      </c>
    </row>
    <row r="642" spans="1:15" x14ac:dyDescent="0.25">
      <c r="A642" t="s">
        <v>41</v>
      </c>
      <c r="B642" t="s">
        <v>2598</v>
      </c>
      <c r="C642" s="1">
        <v>8165642000152</v>
      </c>
      <c r="D642" t="s">
        <v>2599</v>
      </c>
      <c r="E642" t="s">
        <v>2442</v>
      </c>
      <c r="F642" t="s">
        <v>4</v>
      </c>
      <c r="G642">
        <v>7210250</v>
      </c>
      <c r="H642" t="s">
        <v>2600</v>
      </c>
      <c r="I642" t="s">
        <v>2601</v>
      </c>
      <c r="J642" t="s">
        <v>56</v>
      </c>
      <c r="K642">
        <v>1</v>
      </c>
      <c r="L642">
        <v>28</v>
      </c>
      <c r="M642">
        <v>2030</v>
      </c>
      <c r="N642" t="s">
        <v>47</v>
      </c>
      <c r="O642" s="5">
        <f>DATE(Tabela1[[#This Row],[vigencia ano]],Tabela1[[#This Row],[vigencia mês]],Tabela1[[#This Row],[vigencia dia]])</f>
        <v>48305</v>
      </c>
    </row>
    <row r="643" spans="1:15" x14ac:dyDescent="0.25">
      <c r="A643" t="s">
        <v>41</v>
      </c>
      <c r="B643" t="s">
        <v>2602</v>
      </c>
      <c r="C643" s="1">
        <v>10529487000158</v>
      </c>
      <c r="D643" t="s">
        <v>2603</v>
      </c>
      <c r="E643" t="s">
        <v>2442</v>
      </c>
      <c r="F643" t="s">
        <v>4</v>
      </c>
      <c r="G643">
        <v>7053171</v>
      </c>
      <c r="H643" t="s">
        <v>2604</v>
      </c>
      <c r="I643" t="s">
        <v>2605</v>
      </c>
      <c r="J643" t="s">
        <v>56</v>
      </c>
      <c r="K643">
        <v>8</v>
      </c>
      <c r="L643">
        <v>23</v>
      </c>
      <c r="M643">
        <v>2031</v>
      </c>
      <c r="N643" t="s">
        <v>47</v>
      </c>
      <c r="O643" s="5">
        <f>DATE(Tabela1[[#This Row],[vigencia ano]],Tabela1[[#This Row],[vigencia mês]],Tabela1[[#This Row],[vigencia dia]])</f>
        <v>48526</v>
      </c>
    </row>
    <row r="644" spans="1:15" x14ac:dyDescent="0.25">
      <c r="A644" t="s">
        <v>41</v>
      </c>
      <c r="B644" t="s">
        <v>2606</v>
      </c>
      <c r="C644" s="1">
        <v>23018893000106</v>
      </c>
      <c r="D644" t="s">
        <v>2607</v>
      </c>
      <c r="E644" t="s">
        <v>2442</v>
      </c>
      <c r="F644" t="s">
        <v>4</v>
      </c>
      <c r="G644">
        <v>7110140</v>
      </c>
      <c r="H644" t="s">
        <v>2608</v>
      </c>
      <c r="I644" t="s">
        <v>2609</v>
      </c>
      <c r="J644" t="s">
        <v>56</v>
      </c>
      <c r="K644">
        <v>4</v>
      </c>
      <c r="L644">
        <v>6</v>
      </c>
      <c r="M644">
        <v>2031</v>
      </c>
      <c r="N644" t="s">
        <v>47</v>
      </c>
      <c r="O644" s="5">
        <f>DATE(Tabela1[[#This Row],[vigencia ano]],Tabela1[[#This Row],[vigencia mês]],Tabela1[[#This Row],[vigencia dia]])</f>
        <v>48003</v>
      </c>
    </row>
    <row r="645" spans="1:15" x14ac:dyDescent="0.25">
      <c r="A645" t="s">
        <v>41</v>
      </c>
      <c r="B645" t="s">
        <v>2610</v>
      </c>
      <c r="C645" s="1">
        <v>60541240000125</v>
      </c>
      <c r="D645" t="s">
        <v>2611</v>
      </c>
      <c r="E645" t="s">
        <v>2442</v>
      </c>
      <c r="F645" t="s">
        <v>4</v>
      </c>
      <c r="G645">
        <v>7221030</v>
      </c>
      <c r="H645" t="s">
        <v>2612</v>
      </c>
      <c r="I645" t="s">
        <v>2613</v>
      </c>
      <c r="J645" t="s">
        <v>56</v>
      </c>
      <c r="K645">
        <v>6</v>
      </c>
      <c r="L645">
        <v>27</v>
      </c>
      <c r="M645">
        <v>2027</v>
      </c>
      <c r="N645" t="s">
        <v>47</v>
      </c>
      <c r="O645" s="5">
        <f>DATE(Tabela1[[#This Row],[vigencia ano]],Tabela1[[#This Row],[vigencia mês]],Tabela1[[#This Row],[vigencia dia]])</f>
        <v>47183</v>
      </c>
    </row>
    <row r="646" spans="1:15" x14ac:dyDescent="0.25">
      <c r="A646" t="s">
        <v>41</v>
      </c>
      <c r="B646" t="s">
        <v>2614</v>
      </c>
      <c r="C646" s="1">
        <v>7890229000198</v>
      </c>
      <c r="D646" t="s">
        <v>2615</v>
      </c>
      <c r="E646" t="s">
        <v>2442</v>
      </c>
      <c r="F646" t="s">
        <v>4</v>
      </c>
      <c r="G646">
        <v>7221030</v>
      </c>
      <c r="H646" t="s">
        <v>2616</v>
      </c>
      <c r="I646" t="s">
        <v>2617</v>
      </c>
      <c r="J646" t="s">
        <v>56</v>
      </c>
      <c r="K646">
        <v>9</v>
      </c>
      <c r="L646">
        <v>30</v>
      </c>
      <c r="M646">
        <v>2029</v>
      </c>
      <c r="N646" t="s">
        <v>47</v>
      </c>
      <c r="O646" s="5">
        <f>DATE(Tabela1[[#This Row],[vigencia ano]],Tabela1[[#This Row],[vigencia mês]],Tabela1[[#This Row],[vigencia dia]])</f>
        <v>48008</v>
      </c>
    </row>
    <row r="647" spans="1:15" x14ac:dyDescent="0.25">
      <c r="A647" t="s">
        <v>41</v>
      </c>
      <c r="B647" t="s">
        <v>2618</v>
      </c>
      <c r="C647" s="1">
        <v>1320674000136</v>
      </c>
      <c r="D647" t="s">
        <v>2619</v>
      </c>
      <c r="E647" t="s">
        <v>2442</v>
      </c>
      <c r="F647" t="s">
        <v>4</v>
      </c>
      <c r="G647">
        <v>7180000</v>
      </c>
      <c r="H647" t="s">
        <v>2620</v>
      </c>
      <c r="I647" t="s">
        <v>2621</v>
      </c>
      <c r="J647" t="s">
        <v>56</v>
      </c>
      <c r="K647">
        <v>2</v>
      </c>
      <c r="L647">
        <v>5</v>
      </c>
      <c r="M647">
        <v>2031</v>
      </c>
      <c r="N647" t="s">
        <v>47</v>
      </c>
      <c r="O647" s="5">
        <f>DATE(Tabela1[[#This Row],[vigencia ano]],Tabela1[[#This Row],[vigencia mês]],Tabela1[[#This Row],[vigencia dia]])</f>
        <v>47970</v>
      </c>
    </row>
    <row r="648" spans="1:15" x14ac:dyDescent="0.25">
      <c r="A648" t="s">
        <v>41</v>
      </c>
      <c r="B648" t="s">
        <v>2622</v>
      </c>
      <c r="C648" s="1">
        <v>54556513000102</v>
      </c>
      <c r="D648" t="s">
        <v>2623</v>
      </c>
      <c r="E648" t="s">
        <v>2442</v>
      </c>
      <c r="F648" t="s">
        <v>4</v>
      </c>
      <c r="G648">
        <v>7232152</v>
      </c>
      <c r="H648" t="s">
        <v>2624</v>
      </c>
      <c r="I648" t="s">
        <v>2625</v>
      </c>
      <c r="J648" t="s">
        <v>56</v>
      </c>
      <c r="K648">
        <v>7</v>
      </c>
      <c r="L648">
        <v>26</v>
      </c>
      <c r="M648">
        <v>2034</v>
      </c>
      <c r="N648" t="s">
        <v>47</v>
      </c>
      <c r="O648" s="5">
        <f>DATE(Tabela1[[#This Row],[vigencia ano]],Tabela1[[#This Row],[vigencia mês]],Tabela1[[#This Row],[vigencia dia]])</f>
        <v>49712</v>
      </c>
    </row>
    <row r="649" spans="1:15" x14ac:dyDescent="0.25">
      <c r="A649" t="s">
        <v>41</v>
      </c>
      <c r="B649" t="s">
        <v>2626</v>
      </c>
      <c r="C649" s="1">
        <v>44804185000162</v>
      </c>
      <c r="D649" t="s">
        <v>2627</v>
      </c>
      <c r="E649" t="s">
        <v>2442</v>
      </c>
      <c r="F649" t="s">
        <v>4</v>
      </c>
      <c r="G649">
        <v>7182320</v>
      </c>
      <c r="H649" t="s">
        <v>2628</v>
      </c>
      <c r="I649" t="s">
        <v>2629</v>
      </c>
      <c r="J649" t="s">
        <v>46</v>
      </c>
      <c r="K649">
        <v>9</v>
      </c>
      <c r="L649">
        <v>20</v>
      </c>
      <c r="M649">
        <v>2032</v>
      </c>
      <c r="N649" t="s">
        <v>47</v>
      </c>
      <c r="O649" s="5">
        <f>DATE(Tabela1[[#This Row],[vigencia ano]],Tabela1[[#This Row],[vigencia mês]],Tabela1[[#This Row],[vigencia dia]])</f>
        <v>48800</v>
      </c>
    </row>
    <row r="650" spans="1:15" x14ac:dyDescent="0.25">
      <c r="A650" t="s">
        <v>41</v>
      </c>
      <c r="B650" t="s">
        <v>2630</v>
      </c>
      <c r="C650" s="1">
        <v>19558802000140</v>
      </c>
      <c r="D650" t="s">
        <v>2631</v>
      </c>
      <c r="E650" t="s">
        <v>2442</v>
      </c>
      <c r="F650" t="s">
        <v>4</v>
      </c>
      <c r="G650">
        <v>7221010</v>
      </c>
      <c r="H650" t="s">
        <v>2632</v>
      </c>
      <c r="I650" t="s">
        <v>2633</v>
      </c>
      <c r="J650" t="s">
        <v>56</v>
      </c>
      <c r="K650">
        <v>8</v>
      </c>
      <c r="L650">
        <v>18</v>
      </c>
      <c r="M650">
        <v>2033</v>
      </c>
      <c r="N650" t="s">
        <v>47</v>
      </c>
      <c r="O650" s="5">
        <f>DATE(Tabela1[[#This Row],[vigencia ano]],Tabela1[[#This Row],[vigencia mês]],Tabela1[[#This Row],[vigencia dia]])</f>
        <v>49103</v>
      </c>
    </row>
    <row r="651" spans="1:15" x14ac:dyDescent="0.25">
      <c r="A651" t="s">
        <v>41</v>
      </c>
      <c r="B651" t="s">
        <v>2630</v>
      </c>
      <c r="C651" s="1">
        <v>19558802000140</v>
      </c>
      <c r="D651" t="s">
        <v>2631</v>
      </c>
      <c r="E651" t="s">
        <v>2442</v>
      </c>
      <c r="F651" t="s">
        <v>4</v>
      </c>
      <c r="G651">
        <v>7221010</v>
      </c>
      <c r="H651" t="s">
        <v>2632</v>
      </c>
      <c r="I651" t="s">
        <v>2633</v>
      </c>
      <c r="J651" t="s">
        <v>56</v>
      </c>
      <c r="K651">
        <v>8</v>
      </c>
      <c r="L651">
        <v>18</v>
      </c>
      <c r="M651">
        <v>2033</v>
      </c>
      <c r="N651" t="s">
        <v>47</v>
      </c>
      <c r="O651" s="5">
        <f>DATE(Tabela1[[#This Row],[vigencia ano]],Tabela1[[#This Row],[vigencia mês]],Tabela1[[#This Row],[vigencia dia]])</f>
        <v>49103</v>
      </c>
    </row>
    <row r="652" spans="1:15" x14ac:dyDescent="0.25">
      <c r="A652" t="s">
        <v>41</v>
      </c>
      <c r="B652" t="s">
        <v>2634</v>
      </c>
      <c r="C652" s="1">
        <v>62355789000150</v>
      </c>
      <c r="D652" t="s">
        <v>2635</v>
      </c>
      <c r="E652" t="s">
        <v>2442</v>
      </c>
      <c r="F652" t="s">
        <v>4</v>
      </c>
      <c r="G652">
        <v>7140030</v>
      </c>
      <c r="H652" t="s">
        <v>2636</v>
      </c>
      <c r="I652" t="s">
        <v>2637</v>
      </c>
      <c r="J652" t="s">
        <v>56</v>
      </c>
      <c r="K652">
        <v>11</v>
      </c>
      <c r="L652">
        <v>20</v>
      </c>
      <c r="M652">
        <v>2029</v>
      </c>
      <c r="N652" t="s">
        <v>47</v>
      </c>
      <c r="O652" s="5">
        <f>DATE(Tabela1[[#This Row],[vigencia ano]],Tabela1[[#This Row],[vigencia mês]],Tabela1[[#This Row],[vigencia dia]])</f>
        <v>47706</v>
      </c>
    </row>
    <row r="653" spans="1:15" x14ac:dyDescent="0.25">
      <c r="A653" t="s">
        <v>41</v>
      </c>
      <c r="B653" t="s">
        <v>2638</v>
      </c>
      <c r="C653" s="1">
        <v>35960202000160</v>
      </c>
      <c r="D653" t="s">
        <v>2639</v>
      </c>
      <c r="E653" t="s">
        <v>2442</v>
      </c>
      <c r="F653" t="s">
        <v>4</v>
      </c>
      <c r="G653">
        <v>7232150</v>
      </c>
      <c r="H653" t="s">
        <v>2640</v>
      </c>
      <c r="I653" t="s">
        <v>2641</v>
      </c>
      <c r="J653" t="s">
        <v>56</v>
      </c>
      <c r="K653">
        <v>3</v>
      </c>
      <c r="L653">
        <v>8</v>
      </c>
      <c r="M653">
        <v>2023</v>
      </c>
      <c r="N653" t="s">
        <v>47</v>
      </c>
      <c r="O653" s="5">
        <f>DATE(Tabela1[[#This Row],[vigencia ano]],Tabela1[[#This Row],[vigencia mês]],Tabela1[[#This Row],[vigencia dia]])</f>
        <v>45141</v>
      </c>
    </row>
    <row r="654" spans="1:15" x14ac:dyDescent="0.25">
      <c r="A654" t="s">
        <v>41</v>
      </c>
      <c r="B654" t="s">
        <v>2642</v>
      </c>
      <c r="C654" s="1">
        <v>3271852000101</v>
      </c>
      <c r="D654" t="s">
        <v>2643</v>
      </c>
      <c r="E654" t="s">
        <v>2442</v>
      </c>
      <c r="F654" t="s">
        <v>4</v>
      </c>
      <c r="G654">
        <v>7224140</v>
      </c>
      <c r="H654" t="s">
        <v>2644</v>
      </c>
      <c r="I654" t="s">
        <v>2645</v>
      </c>
      <c r="J654" t="s">
        <v>56</v>
      </c>
      <c r="K654">
        <v>11</v>
      </c>
      <c r="L654">
        <v>13</v>
      </c>
      <c r="M654">
        <v>2024</v>
      </c>
      <c r="N654" t="s">
        <v>47</v>
      </c>
      <c r="O654" s="5">
        <f>DATE(Tabela1[[#This Row],[vigencia ano]],Tabela1[[#This Row],[vigencia mês]],Tabela1[[#This Row],[vigencia dia]])</f>
        <v>45668</v>
      </c>
    </row>
    <row r="655" spans="1:15" x14ac:dyDescent="0.25">
      <c r="A655" t="s">
        <v>41</v>
      </c>
      <c r="B655" t="s">
        <v>2646</v>
      </c>
      <c r="C655" s="1">
        <v>18997640000183</v>
      </c>
      <c r="D655" t="s">
        <v>2647</v>
      </c>
      <c r="E655" t="s">
        <v>2442</v>
      </c>
      <c r="F655" t="s">
        <v>4</v>
      </c>
      <c r="G655">
        <v>7223090</v>
      </c>
      <c r="H655" t="s">
        <v>2648</v>
      </c>
      <c r="I655" t="s">
        <v>2649</v>
      </c>
      <c r="J655" t="s">
        <v>56</v>
      </c>
      <c r="K655">
        <v>12</v>
      </c>
      <c r="L655">
        <v>13</v>
      </c>
      <c r="M655">
        <v>2034</v>
      </c>
      <c r="N655" t="s">
        <v>47</v>
      </c>
      <c r="O655" s="5">
        <f>DATE(Tabela1[[#This Row],[vigencia ano]],Tabela1[[#This Row],[vigencia mês]],Tabela1[[#This Row],[vigencia dia]])</f>
        <v>49321</v>
      </c>
    </row>
    <row r="656" spans="1:15" x14ac:dyDescent="0.25">
      <c r="A656" t="s">
        <v>41</v>
      </c>
      <c r="B656" t="s">
        <v>2650</v>
      </c>
      <c r="C656" s="1">
        <v>8031404000154</v>
      </c>
      <c r="D656" t="s">
        <v>2651</v>
      </c>
      <c r="E656" t="s">
        <v>2442</v>
      </c>
      <c r="F656" t="s">
        <v>4</v>
      </c>
      <c r="G656">
        <v>7043050</v>
      </c>
      <c r="H656" t="s">
        <v>2652</v>
      </c>
      <c r="I656" t="s">
        <v>2653</v>
      </c>
      <c r="J656" t="s">
        <v>56</v>
      </c>
      <c r="K656">
        <v>2</v>
      </c>
      <c r="L656">
        <v>5</v>
      </c>
      <c r="M656">
        <v>2030</v>
      </c>
      <c r="N656" t="s">
        <v>47</v>
      </c>
      <c r="O656" s="5">
        <f>DATE(Tabela1[[#This Row],[vigencia ano]],Tabela1[[#This Row],[vigencia mês]],Tabela1[[#This Row],[vigencia dia]])</f>
        <v>47605</v>
      </c>
    </row>
    <row r="657" spans="1:15" x14ac:dyDescent="0.25">
      <c r="A657" t="s">
        <v>41</v>
      </c>
      <c r="B657" t="s">
        <v>2654</v>
      </c>
      <c r="C657" s="1">
        <v>26862786000140</v>
      </c>
      <c r="D657" t="s">
        <v>2655</v>
      </c>
      <c r="E657" t="s">
        <v>2442</v>
      </c>
      <c r="F657" t="s">
        <v>4</v>
      </c>
      <c r="G657">
        <v>7140040</v>
      </c>
      <c r="H657" t="s">
        <v>1521</v>
      </c>
      <c r="I657" t="s">
        <v>2656</v>
      </c>
      <c r="J657" t="s">
        <v>56</v>
      </c>
      <c r="K657">
        <v>2</v>
      </c>
      <c r="L657">
        <v>6</v>
      </c>
      <c r="M657">
        <v>2034</v>
      </c>
      <c r="N657" t="s">
        <v>47</v>
      </c>
      <c r="O657" s="5">
        <f>DATE(Tabela1[[#This Row],[vigencia ano]],Tabela1[[#This Row],[vigencia mês]],Tabela1[[#This Row],[vigencia dia]])</f>
        <v>49097</v>
      </c>
    </row>
    <row r="658" spans="1:15" x14ac:dyDescent="0.25">
      <c r="A658" t="s">
        <v>41</v>
      </c>
      <c r="B658" t="s">
        <v>2654</v>
      </c>
      <c r="C658" s="1">
        <v>26862786000140</v>
      </c>
      <c r="D658" t="s">
        <v>2655</v>
      </c>
      <c r="E658" t="s">
        <v>2442</v>
      </c>
      <c r="F658" t="s">
        <v>4</v>
      </c>
      <c r="G658">
        <v>7140040</v>
      </c>
      <c r="H658" t="s">
        <v>2657</v>
      </c>
      <c r="I658" t="s">
        <v>2656</v>
      </c>
      <c r="J658" t="s">
        <v>56</v>
      </c>
      <c r="K658">
        <v>2</v>
      </c>
      <c r="L658">
        <v>6</v>
      </c>
      <c r="M658">
        <v>2034</v>
      </c>
      <c r="N658" t="s">
        <v>47</v>
      </c>
      <c r="O658" s="5">
        <f>DATE(Tabela1[[#This Row],[vigencia ano]],Tabela1[[#This Row],[vigencia mês]],Tabela1[[#This Row],[vigencia dia]])</f>
        <v>49097</v>
      </c>
    </row>
    <row r="659" spans="1:15" x14ac:dyDescent="0.25">
      <c r="A659" t="s">
        <v>41</v>
      </c>
      <c r="B659" t="s">
        <v>2658</v>
      </c>
      <c r="C659" s="1">
        <v>5075152000177</v>
      </c>
      <c r="D659" t="s">
        <v>2659</v>
      </c>
      <c r="E659" t="s">
        <v>2442</v>
      </c>
      <c r="F659" t="s">
        <v>4</v>
      </c>
      <c r="G659">
        <v>7210250</v>
      </c>
      <c r="H659" t="s">
        <v>2660</v>
      </c>
      <c r="I659" t="s">
        <v>2661</v>
      </c>
      <c r="J659" t="s">
        <v>56</v>
      </c>
      <c r="K659">
        <v>4</v>
      </c>
      <c r="L659">
        <v>2</v>
      </c>
      <c r="M659">
        <v>2034</v>
      </c>
      <c r="N659" t="s">
        <v>47</v>
      </c>
      <c r="O659" s="5">
        <f>DATE(Tabela1[[#This Row],[vigencia ano]],Tabela1[[#This Row],[vigencia mês]],Tabela1[[#This Row],[vigencia dia]])</f>
        <v>48979</v>
      </c>
    </row>
    <row r="660" spans="1:15" x14ac:dyDescent="0.25">
      <c r="A660" t="s">
        <v>41</v>
      </c>
      <c r="B660" t="s">
        <v>2662</v>
      </c>
      <c r="C660" s="1">
        <v>10198659000239</v>
      </c>
      <c r="D660" t="s">
        <v>2663</v>
      </c>
      <c r="E660" t="s">
        <v>2442</v>
      </c>
      <c r="F660" t="s">
        <v>4</v>
      </c>
      <c r="G660">
        <v>7044230</v>
      </c>
      <c r="H660" t="s">
        <v>2664</v>
      </c>
      <c r="I660" t="s">
        <v>2665</v>
      </c>
      <c r="J660" t="s">
        <v>56</v>
      </c>
      <c r="K660">
        <v>7</v>
      </c>
      <c r="L660">
        <v>26</v>
      </c>
      <c r="M660">
        <v>2031</v>
      </c>
      <c r="N660" t="s">
        <v>47</v>
      </c>
      <c r="O660" s="5">
        <f>DATE(Tabela1[[#This Row],[vigencia ano]],Tabela1[[#This Row],[vigencia mês]],Tabela1[[#This Row],[vigencia dia]])</f>
        <v>48617</v>
      </c>
    </row>
    <row r="661" spans="1:15" x14ac:dyDescent="0.25">
      <c r="A661" t="s">
        <v>41</v>
      </c>
      <c r="B661" t="s">
        <v>2666</v>
      </c>
      <c r="C661" s="1">
        <v>29187711000107</v>
      </c>
      <c r="D661" t="s">
        <v>2667</v>
      </c>
      <c r="E661" t="s">
        <v>2442</v>
      </c>
      <c r="F661" t="s">
        <v>4</v>
      </c>
      <c r="G661">
        <v>7111040</v>
      </c>
      <c r="H661" t="s">
        <v>2668</v>
      </c>
      <c r="I661" t="s">
        <v>2669</v>
      </c>
      <c r="J661" t="s">
        <v>56</v>
      </c>
      <c r="K661">
        <v>10</v>
      </c>
      <c r="L661">
        <v>11</v>
      </c>
      <c r="M661">
        <v>2029</v>
      </c>
      <c r="N661" t="s">
        <v>47</v>
      </c>
      <c r="O661" s="5">
        <f>DATE(Tabela1[[#This Row],[vigencia ano]],Tabela1[[#This Row],[vigencia mês]],Tabela1[[#This Row],[vigencia dia]])</f>
        <v>47432</v>
      </c>
    </row>
    <row r="662" spans="1:15" x14ac:dyDescent="0.25">
      <c r="A662" t="s">
        <v>41</v>
      </c>
      <c r="B662" t="s">
        <v>2670</v>
      </c>
      <c r="C662" s="1">
        <v>8375242000171</v>
      </c>
      <c r="D662" t="s">
        <v>2671</v>
      </c>
      <c r="E662" t="s">
        <v>2442</v>
      </c>
      <c r="F662" t="s">
        <v>4</v>
      </c>
      <c r="G662">
        <v>7040000</v>
      </c>
      <c r="H662" t="s">
        <v>2672</v>
      </c>
      <c r="I662" t="s">
        <v>2673</v>
      </c>
      <c r="J662" t="s">
        <v>56</v>
      </c>
      <c r="K662">
        <v>11</v>
      </c>
      <c r="L662">
        <v>22</v>
      </c>
      <c r="M662">
        <v>2028</v>
      </c>
      <c r="N662" t="s">
        <v>47</v>
      </c>
      <c r="O662" s="5">
        <f>DATE(Tabela1[[#This Row],[vigencia ano]],Tabela1[[#This Row],[vigencia mês]],Tabela1[[#This Row],[vigencia dia]])</f>
        <v>47402</v>
      </c>
    </row>
    <row r="663" spans="1:15" x14ac:dyDescent="0.25">
      <c r="A663" t="s">
        <v>41</v>
      </c>
      <c r="B663" t="s">
        <v>2674</v>
      </c>
      <c r="C663" s="1">
        <v>5366444000169</v>
      </c>
      <c r="D663" t="s">
        <v>2675</v>
      </c>
      <c r="E663" t="s">
        <v>2442</v>
      </c>
      <c r="F663" t="s">
        <v>4</v>
      </c>
      <c r="G663">
        <v>7140010</v>
      </c>
      <c r="H663" t="s">
        <v>2676</v>
      </c>
      <c r="I663" t="s">
        <v>2677</v>
      </c>
      <c r="J663" t="s">
        <v>56</v>
      </c>
      <c r="K663">
        <v>5</v>
      </c>
      <c r="L663">
        <v>18</v>
      </c>
      <c r="M663">
        <v>2030</v>
      </c>
      <c r="N663" t="s">
        <v>47</v>
      </c>
      <c r="O663" s="5">
        <f>DATE(Tabela1[[#This Row],[vigencia ano]],Tabela1[[#This Row],[vigencia mês]],Tabela1[[#This Row],[vigencia dia]])</f>
        <v>48004</v>
      </c>
    </row>
    <row r="664" spans="1:15" x14ac:dyDescent="0.25">
      <c r="A664" t="s">
        <v>41</v>
      </c>
      <c r="B664" t="s">
        <v>2678</v>
      </c>
      <c r="C664" s="1">
        <v>50791887000151</v>
      </c>
      <c r="D664" t="s">
        <v>2679</v>
      </c>
      <c r="E664" t="s">
        <v>2442</v>
      </c>
      <c r="F664" t="s">
        <v>4</v>
      </c>
      <c r="G664">
        <v>7140030</v>
      </c>
      <c r="H664" t="s">
        <v>2680</v>
      </c>
      <c r="I664" t="s">
        <v>2681</v>
      </c>
      <c r="J664" t="s">
        <v>56</v>
      </c>
      <c r="K664">
        <v>1</v>
      </c>
      <c r="L664">
        <v>2</v>
      </c>
      <c r="M664">
        <v>2035</v>
      </c>
      <c r="N664" t="s">
        <v>47</v>
      </c>
      <c r="O664" s="5">
        <f>DATE(Tabela1[[#This Row],[vigencia ano]],Tabela1[[#This Row],[vigencia mês]],Tabela1[[#This Row],[vigencia dia]])</f>
        <v>49341</v>
      </c>
    </row>
    <row r="665" spans="1:15" x14ac:dyDescent="0.25">
      <c r="A665" t="s">
        <v>41</v>
      </c>
      <c r="B665" t="s">
        <v>2682</v>
      </c>
      <c r="C665" s="1">
        <v>23641864000198</v>
      </c>
      <c r="D665" t="s">
        <v>2683</v>
      </c>
      <c r="E665" t="s">
        <v>2442</v>
      </c>
      <c r="F665" t="s">
        <v>4</v>
      </c>
      <c r="G665">
        <v>7056020</v>
      </c>
      <c r="H665" t="s">
        <v>2684</v>
      </c>
      <c r="I665" t="s">
        <v>2685</v>
      </c>
      <c r="J665" t="s">
        <v>56</v>
      </c>
      <c r="K665">
        <v>4</v>
      </c>
      <c r="L665">
        <v>18</v>
      </c>
      <c r="M665">
        <v>2029</v>
      </c>
      <c r="N665" t="s">
        <v>47</v>
      </c>
      <c r="O665" s="5">
        <f>DATE(Tabela1[[#This Row],[vigencia ano]],Tabela1[[#This Row],[vigencia mês]],Tabela1[[#This Row],[vigencia dia]])</f>
        <v>47638</v>
      </c>
    </row>
    <row r="666" spans="1:15" x14ac:dyDescent="0.25">
      <c r="A666" t="s">
        <v>41</v>
      </c>
      <c r="B666" t="s">
        <v>2686</v>
      </c>
      <c r="C666" s="1">
        <v>9498335000156</v>
      </c>
      <c r="D666" t="s">
        <v>2687</v>
      </c>
      <c r="E666" t="s">
        <v>2442</v>
      </c>
      <c r="F666" t="s">
        <v>4</v>
      </c>
      <c r="G666">
        <v>7210000</v>
      </c>
      <c r="H666" t="s">
        <v>2688</v>
      </c>
      <c r="I666" t="s">
        <v>2689</v>
      </c>
      <c r="J666" t="s">
        <v>56</v>
      </c>
      <c r="K666">
        <v>4</v>
      </c>
      <c r="L666">
        <v>28</v>
      </c>
      <c r="M666">
        <v>2032</v>
      </c>
      <c r="N666" t="s">
        <v>47</v>
      </c>
      <c r="O666" s="5">
        <f>DATE(Tabela1[[#This Row],[vigencia ano]],Tabela1[[#This Row],[vigencia mês]],Tabela1[[#This Row],[vigencia dia]])</f>
        <v>49038</v>
      </c>
    </row>
    <row r="667" spans="1:15" x14ac:dyDescent="0.25">
      <c r="A667" t="s">
        <v>41</v>
      </c>
      <c r="B667" t="s">
        <v>2686</v>
      </c>
      <c r="C667" s="1">
        <v>9498335000156</v>
      </c>
      <c r="D667" t="s">
        <v>2687</v>
      </c>
      <c r="E667" t="s">
        <v>2442</v>
      </c>
      <c r="F667" t="s">
        <v>4</v>
      </c>
      <c r="G667">
        <v>7210000</v>
      </c>
      <c r="H667" t="s">
        <v>2690</v>
      </c>
      <c r="I667" t="s">
        <v>2689</v>
      </c>
      <c r="J667" t="s">
        <v>56</v>
      </c>
      <c r="K667">
        <v>4</v>
      </c>
      <c r="L667">
        <v>28</v>
      </c>
      <c r="M667">
        <v>2032</v>
      </c>
      <c r="N667" t="s">
        <v>47</v>
      </c>
      <c r="O667" s="5">
        <f>DATE(Tabela1[[#This Row],[vigencia ano]],Tabela1[[#This Row],[vigencia mês]],Tabela1[[#This Row],[vigencia dia]])</f>
        <v>49038</v>
      </c>
    </row>
    <row r="668" spans="1:15" x14ac:dyDescent="0.25">
      <c r="A668" t="s">
        <v>41</v>
      </c>
      <c r="B668" t="s">
        <v>2691</v>
      </c>
      <c r="C668" s="1">
        <v>7782318000110</v>
      </c>
      <c r="D668" t="s">
        <v>2692</v>
      </c>
      <c r="E668" t="s">
        <v>2442</v>
      </c>
      <c r="F668" t="s">
        <v>4</v>
      </c>
      <c r="G668">
        <v>7143000</v>
      </c>
      <c r="H668" t="s">
        <v>2693</v>
      </c>
      <c r="I668" t="s">
        <v>2694</v>
      </c>
      <c r="J668" t="s">
        <v>56</v>
      </c>
      <c r="K668">
        <v>2</v>
      </c>
      <c r="L668">
        <v>5</v>
      </c>
      <c r="M668">
        <v>2030</v>
      </c>
      <c r="N668" t="s">
        <v>47</v>
      </c>
      <c r="O668" s="5">
        <f>DATE(Tabela1[[#This Row],[vigencia ano]],Tabela1[[#This Row],[vigencia mês]],Tabela1[[#This Row],[vigencia dia]])</f>
        <v>47605</v>
      </c>
    </row>
    <row r="669" spans="1:15" x14ac:dyDescent="0.25">
      <c r="A669" t="s">
        <v>41</v>
      </c>
      <c r="B669" t="s">
        <v>2695</v>
      </c>
      <c r="C669" s="1">
        <v>39366272000145</v>
      </c>
      <c r="D669" t="s">
        <v>2696</v>
      </c>
      <c r="E669" t="s">
        <v>2442</v>
      </c>
      <c r="F669" t="s">
        <v>4</v>
      </c>
      <c r="G669">
        <v>7034040</v>
      </c>
      <c r="H669" t="s">
        <v>2697</v>
      </c>
      <c r="I669" t="s">
        <v>2698</v>
      </c>
      <c r="J669" t="s">
        <v>56</v>
      </c>
      <c r="K669">
        <v>11</v>
      </c>
      <c r="L669">
        <v>25</v>
      </c>
      <c r="M669">
        <v>2034</v>
      </c>
      <c r="N669" t="s">
        <v>47</v>
      </c>
      <c r="O669" s="5">
        <f>DATE(Tabela1[[#This Row],[vigencia ano]],Tabela1[[#This Row],[vigencia mês]],Tabela1[[#This Row],[vigencia dia]])</f>
        <v>49685</v>
      </c>
    </row>
    <row r="670" spans="1:15" x14ac:dyDescent="0.25">
      <c r="A670" t="s">
        <v>41</v>
      </c>
      <c r="B670" t="s">
        <v>2699</v>
      </c>
      <c r="C670" s="1">
        <v>14937348000114</v>
      </c>
      <c r="D670" t="s">
        <v>2700</v>
      </c>
      <c r="E670" t="s">
        <v>2442</v>
      </c>
      <c r="F670" t="s">
        <v>4</v>
      </c>
      <c r="G670">
        <v>7112100</v>
      </c>
      <c r="H670" t="s">
        <v>2701</v>
      </c>
      <c r="I670" t="s">
        <v>2702</v>
      </c>
      <c r="J670" t="s">
        <v>46</v>
      </c>
      <c r="K670">
        <v>3</v>
      </c>
      <c r="L670">
        <v>31</v>
      </c>
      <c r="M670">
        <v>2033</v>
      </c>
      <c r="N670" t="s">
        <v>47</v>
      </c>
      <c r="O670" s="5">
        <f>DATE(Tabela1[[#This Row],[vigencia ano]],Tabela1[[#This Row],[vigencia mês]],Tabela1[[#This Row],[vigencia dia]])</f>
        <v>49493</v>
      </c>
    </row>
    <row r="671" spans="1:15" x14ac:dyDescent="0.25">
      <c r="A671" t="s">
        <v>41</v>
      </c>
      <c r="B671" t="s">
        <v>2703</v>
      </c>
      <c r="C671" s="1">
        <v>3776089000170</v>
      </c>
      <c r="D671" t="s">
        <v>2704</v>
      </c>
      <c r="E671" t="s">
        <v>2442</v>
      </c>
      <c r="F671" t="s">
        <v>4</v>
      </c>
      <c r="G671">
        <v>7012040</v>
      </c>
      <c r="H671" t="s">
        <v>2705</v>
      </c>
      <c r="I671" t="s">
        <v>2706</v>
      </c>
      <c r="J671" t="s">
        <v>46</v>
      </c>
      <c r="K671">
        <v>10</v>
      </c>
      <c r="L671">
        <v>26</v>
      </c>
      <c r="M671">
        <v>2027</v>
      </c>
      <c r="N671" t="s">
        <v>47</v>
      </c>
      <c r="O671" s="5">
        <f>DATE(Tabela1[[#This Row],[vigencia ano]],Tabela1[[#This Row],[vigencia mês]],Tabela1[[#This Row],[vigencia dia]])</f>
        <v>47159</v>
      </c>
    </row>
    <row r="672" spans="1:15" x14ac:dyDescent="0.25">
      <c r="A672" t="s">
        <v>41</v>
      </c>
      <c r="B672" t="s">
        <v>2707</v>
      </c>
      <c r="C672" s="1">
        <v>11807198000136</v>
      </c>
      <c r="D672" t="s">
        <v>2708</v>
      </c>
      <c r="E672" t="s">
        <v>2442</v>
      </c>
      <c r="F672" t="s">
        <v>4</v>
      </c>
      <c r="G672">
        <v>7170150</v>
      </c>
      <c r="H672" t="s">
        <v>2709</v>
      </c>
      <c r="I672" t="s">
        <v>2710</v>
      </c>
      <c r="J672" t="s">
        <v>46</v>
      </c>
      <c r="K672">
        <v>2</v>
      </c>
      <c r="L672">
        <v>3</v>
      </c>
      <c r="M672">
        <v>2030</v>
      </c>
      <c r="N672" t="s">
        <v>47</v>
      </c>
      <c r="O672" s="5">
        <f>DATE(Tabela1[[#This Row],[vigencia ano]],Tabela1[[#This Row],[vigencia mês]],Tabela1[[#This Row],[vigencia dia]])</f>
        <v>47544</v>
      </c>
    </row>
    <row r="673" spans="1:15" x14ac:dyDescent="0.25">
      <c r="A673" t="s">
        <v>41</v>
      </c>
      <c r="B673" t="s">
        <v>2711</v>
      </c>
      <c r="C673" s="1">
        <v>24620388000191</v>
      </c>
      <c r="D673" t="s">
        <v>2712</v>
      </c>
      <c r="E673" t="s">
        <v>2442</v>
      </c>
      <c r="F673" t="s">
        <v>4</v>
      </c>
      <c r="G673">
        <v>7140040</v>
      </c>
      <c r="H673" t="s">
        <v>2713</v>
      </c>
      <c r="I673" t="s">
        <v>2714</v>
      </c>
      <c r="J673" t="s">
        <v>56</v>
      </c>
      <c r="K673">
        <v>1</v>
      </c>
      <c r="L673">
        <v>29</v>
      </c>
      <c r="M673">
        <v>2034</v>
      </c>
      <c r="N673" t="s">
        <v>47</v>
      </c>
      <c r="O673" s="5">
        <f>DATE(Tabela1[[#This Row],[vigencia ano]],Tabela1[[#This Row],[vigencia mês]],Tabela1[[#This Row],[vigencia dia]])</f>
        <v>49796</v>
      </c>
    </row>
    <row r="674" spans="1:15" x14ac:dyDescent="0.25">
      <c r="A674" t="s">
        <v>41</v>
      </c>
      <c r="B674" t="s">
        <v>2711</v>
      </c>
      <c r="C674" s="1">
        <v>24620388000191</v>
      </c>
      <c r="D674" t="s">
        <v>2712</v>
      </c>
      <c r="E674" t="s">
        <v>2442</v>
      </c>
      <c r="F674" t="s">
        <v>4</v>
      </c>
      <c r="G674">
        <v>7140040</v>
      </c>
      <c r="H674" t="s">
        <v>2715</v>
      </c>
      <c r="I674" t="s">
        <v>2714</v>
      </c>
      <c r="J674" t="s">
        <v>56</v>
      </c>
      <c r="K674">
        <v>1</v>
      </c>
      <c r="L674">
        <v>29</v>
      </c>
      <c r="M674">
        <v>2034</v>
      </c>
      <c r="N674" t="s">
        <v>47</v>
      </c>
      <c r="O674" s="5">
        <f>DATE(Tabela1[[#This Row],[vigencia ano]],Tabela1[[#This Row],[vigencia mês]],Tabela1[[#This Row],[vigencia dia]])</f>
        <v>49796</v>
      </c>
    </row>
    <row r="675" spans="1:15" x14ac:dyDescent="0.25">
      <c r="A675" t="s">
        <v>41</v>
      </c>
      <c r="B675" t="s">
        <v>2716</v>
      </c>
      <c r="C675" s="1">
        <v>11835127000147</v>
      </c>
      <c r="D675" t="s">
        <v>2717</v>
      </c>
      <c r="E675" t="s">
        <v>2442</v>
      </c>
      <c r="F675" t="s">
        <v>4</v>
      </c>
      <c r="G675">
        <v>7140030</v>
      </c>
      <c r="H675" t="s">
        <v>2718</v>
      </c>
      <c r="I675" t="s">
        <v>2719</v>
      </c>
      <c r="J675" t="s">
        <v>46</v>
      </c>
      <c r="K675">
        <v>8</v>
      </c>
      <c r="L675">
        <v>5</v>
      </c>
      <c r="M675">
        <v>2036</v>
      </c>
      <c r="N675" t="s">
        <v>2720</v>
      </c>
      <c r="O675" s="5">
        <f>DATE(Tabela1[[#This Row],[vigencia ano]],Tabela1[[#This Row],[vigencia mês]],Tabela1[[#This Row],[vigencia dia]])</f>
        <v>49803</v>
      </c>
    </row>
    <row r="676" spans="1:15" x14ac:dyDescent="0.25">
      <c r="A676" t="s">
        <v>41</v>
      </c>
      <c r="B676" t="s">
        <v>2716</v>
      </c>
      <c r="C676" s="1">
        <v>11835127000147</v>
      </c>
      <c r="D676" t="s">
        <v>2717</v>
      </c>
      <c r="E676" t="s">
        <v>2442</v>
      </c>
      <c r="F676" t="s">
        <v>4</v>
      </c>
      <c r="G676">
        <v>7140030</v>
      </c>
      <c r="H676" t="s">
        <v>2721</v>
      </c>
      <c r="I676" t="s">
        <v>2719</v>
      </c>
      <c r="J676" t="s">
        <v>46</v>
      </c>
      <c r="K676">
        <v>8</v>
      </c>
      <c r="L676">
        <v>5</v>
      </c>
      <c r="M676">
        <v>2036</v>
      </c>
      <c r="N676" t="s">
        <v>2720</v>
      </c>
      <c r="O676" s="5">
        <f>DATE(Tabela1[[#This Row],[vigencia ano]],Tabela1[[#This Row],[vigencia mês]],Tabela1[[#This Row],[vigencia dia]])</f>
        <v>49803</v>
      </c>
    </row>
    <row r="677" spans="1:15" x14ac:dyDescent="0.25">
      <c r="A677" t="s">
        <v>41</v>
      </c>
      <c r="B677" t="s">
        <v>2722</v>
      </c>
      <c r="C677" s="1">
        <v>43368422000127</v>
      </c>
      <c r="D677" t="s">
        <v>2723</v>
      </c>
      <c r="E677" t="s">
        <v>2442</v>
      </c>
      <c r="F677" t="s">
        <v>4</v>
      </c>
      <c r="G677">
        <v>7224150</v>
      </c>
      <c r="H677" t="s">
        <v>2724</v>
      </c>
      <c r="I677" t="s">
        <v>2725</v>
      </c>
      <c r="J677" t="s">
        <v>46</v>
      </c>
      <c r="K677">
        <v>4</v>
      </c>
      <c r="L677">
        <v>5</v>
      </c>
      <c r="M677">
        <v>2028</v>
      </c>
      <c r="N677" t="s">
        <v>47</v>
      </c>
      <c r="O677" s="5">
        <f>DATE(Tabela1[[#This Row],[vigencia ano]],Tabela1[[#This Row],[vigencia mês]],Tabela1[[#This Row],[vigencia dia]])</f>
        <v>46877</v>
      </c>
    </row>
    <row r="678" spans="1:15" x14ac:dyDescent="0.25">
      <c r="A678" t="s">
        <v>41</v>
      </c>
      <c r="B678" t="s">
        <v>2722</v>
      </c>
      <c r="C678" s="1">
        <v>43368422000127</v>
      </c>
      <c r="D678" t="s">
        <v>2723</v>
      </c>
      <c r="E678" t="s">
        <v>2442</v>
      </c>
      <c r="F678" t="s">
        <v>4</v>
      </c>
      <c r="G678">
        <v>7224150</v>
      </c>
      <c r="H678" t="s">
        <v>2726</v>
      </c>
      <c r="I678" t="s">
        <v>2725</v>
      </c>
      <c r="J678" t="s">
        <v>46</v>
      </c>
      <c r="K678">
        <v>4</v>
      </c>
      <c r="L678">
        <v>5</v>
      </c>
      <c r="M678">
        <v>2028</v>
      </c>
      <c r="N678" t="s">
        <v>47</v>
      </c>
      <c r="O678" s="5">
        <f>DATE(Tabela1[[#This Row],[vigencia ano]],Tabela1[[#This Row],[vigencia mês]],Tabela1[[#This Row],[vigencia dia]])</f>
        <v>46877</v>
      </c>
    </row>
    <row r="679" spans="1:15" x14ac:dyDescent="0.25">
      <c r="A679" t="s">
        <v>41</v>
      </c>
      <c r="B679" t="s">
        <v>2727</v>
      </c>
      <c r="C679" s="1">
        <v>7259339000156</v>
      </c>
      <c r="D679" t="s">
        <v>2728</v>
      </c>
      <c r="E679" t="s">
        <v>2442</v>
      </c>
      <c r="F679" t="s">
        <v>4</v>
      </c>
      <c r="G679">
        <v>7251500</v>
      </c>
      <c r="H679" t="s">
        <v>2729</v>
      </c>
      <c r="I679" t="s">
        <v>2730</v>
      </c>
      <c r="J679" t="s">
        <v>56</v>
      </c>
      <c r="K679">
        <v>5</v>
      </c>
      <c r="L679">
        <v>26</v>
      </c>
      <c r="M679">
        <v>2031</v>
      </c>
      <c r="N679" t="s">
        <v>47</v>
      </c>
      <c r="O679" s="5">
        <f>DATE(Tabela1[[#This Row],[vigencia ano]],Tabela1[[#This Row],[vigencia mês]],Tabela1[[#This Row],[vigencia dia]])</f>
        <v>48615</v>
      </c>
    </row>
    <row r="680" spans="1:15" x14ac:dyDescent="0.25">
      <c r="A680" t="s">
        <v>41</v>
      </c>
      <c r="B680" t="s">
        <v>2727</v>
      </c>
      <c r="C680" s="1">
        <v>7259339000156</v>
      </c>
      <c r="D680" t="s">
        <v>2728</v>
      </c>
      <c r="E680" t="s">
        <v>2442</v>
      </c>
      <c r="F680" t="s">
        <v>4</v>
      </c>
      <c r="G680">
        <v>7251500</v>
      </c>
      <c r="H680" t="s">
        <v>2731</v>
      </c>
      <c r="I680" t="s">
        <v>2730</v>
      </c>
      <c r="J680" t="s">
        <v>56</v>
      </c>
      <c r="K680">
        <v>5</v>
      </c>
      <c r="L680">
        <v>26</v>
      </c>
      <c r="M680">
        <v>2031</v>
      </c>
      <c r="N680" t="s">
        <v>47</v>
      </c>
      <c r="O680" s="5">
        <f>DATE(Tabela1[[#This Row],[vigencia ano]],Tabela1[[#This Row],[vigencia mês]],Tabela1[[#This Row],[vigencia dia]])</f>
        <v>48615</v>
      </c>
    </row>
    <row r="681" spans="1:15" x14ac:dyDescent="0.25">
      <c r="A681" t="s">
        <v>41</v>
      </c>
      <c r="B681" t="s">
        <v>2732</v>
      </c>
      <c r="C681" s="1">
        <v>31750496000144</v>
      </c>
      <c r="D681" t="s">
        <v>2733</v>
      </c>
      <c r="E681" t="s">
        <v>2442</v>
      </c>
      <c r="F681" t="s">
        <v>4</v>
      </c>
      <c r="G681">
        <v>7233140</v>
      </c>
      <c r="H681" t="s">
        <v>2734</v>
      </c>
      <c r="I681" t="s">
        <v>2735</v>
      </c>
      <c r="J681" t="s">
        <v>56</v>
      </c>
      <c r="K681">
        <v>9</v>
      </c>
      <c r="L681">
        <v>23</v>
      </c>
      <c r="M681">
        <v>2029</v>
      </c>
      <c r="N681" t="s">
        <v>47</v>
      </c>
      <c r="O681" s="5">
        <f>DATE(Tabela1[[#This Row],[vigencia ano]],Tabela1[[#This Row],[vigencia mês]],Tabela1[[#This Row],[vigencia dia]])</f>
        <v>47796</v>
      </c>
    </row>
    <row r="682" spans="1:15" x14ac:dyDescent="0.25">
      <c r="A682" t="s">
        <v>41</v>
      </c>
      <c r="B682" t="s">
        <v>2736</v>
      </c>
      <c r="C682" s="1">
        <v>30010218000198</v>
      </c>
      <c r="D682" t="s">
        <v>2737</v>
      </c>
      <c r="E682" t="s">
        <v>2738</v>
      </c>
      <c r="F682" t="s">
        <v>4</v>
      </c>
      <c r="G682">
        <v>13183310</v>
      </c>
      <c r="H682" t="s">
        <v>2739</v>
      </c>
      <c r="I682" t="s">
        <v>2740</v>
      </c>
      <c r="J682" t="s">
        <v>56</v>
      </c>
      <c r="K682">
        <v>11</v>
      </c>
      <c r="L682">
        <v>20</v>
      </c>
      <c r="M682">
        <v>2030</v>
      </c>
      <c r="N682" t="s">
        <v>47</v>
      </c>
      <c r="O682" s="5">
        <f>DATE(Tabela1[[#This Row],[vigencia ano]],Tabela1[[#This Row],[vigencia mês]],Tabela1[[#This Row],[vigencia dia]])</f>
        <v>48071</v>
      </c>
    </row>
    <row r="683" spans="1:15" x14ac:dyDescent="0.25">
      <c r="A683" t="s">
        <v>41</v>
      </c>
      <c r="B683" t="s">
        <v>2741</v>
      </c>
      <c r="C683" s="1">
        <v>13982346000184</v>
      </c>
      <c r="D683" t="s">
        <v>2742</v>
      </c>
      <c r="E683" t="s">
        <v>2738</v>
      </c>
      <c r="F683" t="s">
        <v>4</v>
      </c>
      <c r="G683">
        <v>13186546</v>
      </c>
      <c r="H683" t="s">
        <v>2743</v>
      </c>
      <c r="I683" t="s">
        <v>2744</v>
      </c>
      <c r="J683" t="s">
        <v>46</v>
      </c>
      <c r="K683">
        <v>2</v>
      </c>
      <c r="L683">
        <v>24</v>
      </c>
      <c r="M683">
        <v>2031</v>
      </c>
      <c r="N683" t="s">
        <v>47</v>
      </c>
      <c r="O683" s="5">
        <f>DATE(Tabela1[[#This Row],[vigencia ano]],Tabela1[[#This Row],[vigencia mês]],Tabela1[[#This Row],[vigencia dia]])</f>
        <v>48550</v>
      </c>
    </row>
    <row r="684" spans="1:15" x14ac:dyDescent="0.25">
      <c r="A684" t="s">
        <v>41</v>
      </c>
      <c r="B684" t="s">
        <v>2745</v>
      </c>
      <c r="C684" s="1">
        <v>4019475000180</v>
      </c>
      <c r="D684" t="s">
        <v>2746</v>
      </c>
      <c r="E684" t="s">
        <v>2747</v>
      </c>
      <c r="F684" t="s">
        <v>4</v>
      </c>
      <c r="G684">
        <v>6696060</v>
      </c>
      <c r="H684" t="s">
        <v>2748</v>
      </c>
      <c r="I684" t="s">
        <v>2749</v>
      </c>
      <c r="J684" t="s">
        <v>46</v>
      </c>
      <c r="K684">
        <v>7</v>
      </c>
      <c r="L684">
        <v>16</v>
      </c>
      <c r="M684">
        <v>2024</v>
      </c>
      <c r="N684" t="s">
        <v>47</v>
      </c>
      <c r="O684" s="5">
        <f>DATE(Tabela1[[#This Row],[vigencia ano]],Tabela1[[#This Row],[vigencia mês]],Tabela1[[#This Row],[vigencia dia]])</f>
        <v>45754</v>
      </c>
    </row>
    <row r="685" spans="1:15" x14ac:dyDescent="0.25">
      <c r="A685" t="s">
        <v>41</v>
      </c>
      <c r="B685" t="s">
        <v>2750</v>
      </c>
      <c r="C685" s="1">
        <v>52134798000168</v>
      </c>
      <c r="D685" t="s">
        <v>2751</v>
      </c>
      <c r="E685" t="s">
        <v>2747</v>
      </c>
      <c r="F685" t="s">
        <v>4</v>
      </c>
      <c r="G685">
        <v>6696060</v>
      </c>
      <c r="H685" t="s">
        <v>2748</v>
      </c>
      <c r="I685" t="s">
        <v>2752</v>
      </c>
      <c r="J685" t="s">
        <v>46</v>
      </c>
      <c r="K685">
        <v>1</v>
      </c>
      <c r="L685">
        <v>22</v>
      </c>
      <c r="M685">
        <v>2026</v>
      </c>
      <c r="N685" t="s">
        <v>47</v>
      </c>
      <c r="O685" s="5">
        <f>DATE(Tabela1[[#This Row],[vigencia ano]],Tabela1[[#This Row],[vigencia mês]],Tabela1[[#This Row],[vigencia dia]])</f>
        <v>46661</v>
      </c>
    </row>
    <row r="686" spans="1:15" x14ac:dyDescent="0.25">
      <c r="A686" t="s">
        <v>41</v>
      </c>
      <c r="B686" t="s">
        <v>2753</v>
      </c>
      <c r="C686" s="1">
        <v>4212218000160</v>
      </c>
      <c r="D686" t="s">
        <v>2754</v>
      </c>
      <c r="E686" t="s">
        <v>2747</v>
      </c>
      <c r="F686" t="s">
        <v>4</v>
      </c>
      <c r="G686">
        <v>6696110</v>
      </c>
      <c r="H686" t="s">
        <v>2755</v>
      </c>
      <c r="I686" t="s">
        <v>2756</v>
      </c>
      <c r="J686" t="s">
        <v>56</v>
      </c>
      <c r="K686">
        <v>1</v>
      </c>
      <c r="L686">
        <v>17</v>
      </c>
      <c r="M686">
        <v>2034</v>
      </c>
      <c r="N686" t="s">
        <v>47</v>
      </c>
      <c r="O686" s="5">
        <f>DATE(Tabela1[[#This Row],[vigencia ano]],Tabela1[[#This Row],[vigencia mês]],Tabela1[[#This Row],[vigencia dia]])</f>
        <v>49430</v>
      </c>
    </row>
    <row r="687" spans="1:15" x14ac:dyDescent="0.25">
      <c r="A687" t="s">
        <v>41</v>
      </c>
      <c r="B687" t="s">
        <v>2757</v>
      </c>
      <c r="C687" s="1">
        <v>73089617000107</v>
      </c>
      <c r="D687" t="s">
        <v>2758</v>
      </c>
      <c r="E687" t="s">
        <v>2759</v>
      </c>
      <c r="F687" t="s">
        <v>4</v>
      </c>
      <c r="G687">
        <v>13308700</v>
      </c>
      <c r="H687" t="s">
        <v>2760</v>
      </c>
      <c r="I687" t="s">
        <v>2761</v>
      </c>
      <c r="J687" t="s">
        <v>56</v>
      </c>
      <c r="K687">
        <v>7</v>
      </c>
      <c r="L687">
        <v>11</v>
      </c>
      <c r="M687">
        <v>2029</v>
      </c>
      <c r="N687" t="s">
        <v>47</v>
      </c>
      <c r="O687" s="5">
        <f>DATE(Tabela1[[#This Row],[vigencia ano]],Tabela1[[#This Row],[vigencia mês]],Tabela1[[#This Row],[vigencia dia]])</f>
        <v>47429</v>
      </c>
    </row>
    <row r="688" spans="1:15" x14ac:dyDescent="0.25">
      <c r="A688" t="s">
        <v>41</v>
      </c>
      <c r="B688" t="s">
        <v>2762</v>
      </c>
      <c r="C688" s="1">
        <v>13762882000174</v>
      </c>
      <c r="D688" t="s">
        <v>2763</v>
      </c>
      <c r="E688" t="s">
        <v>2764</v>
      </c>
      <c r="F688" t="s">
        <v>4</v>
      </c>
      <c r="G688">
        <v>12328290</v>
      </c>
      <c r="H688" t="s">
        <v>2563</v>
      </c>
      <c r="I688" t="s">
        <v>2765</v>
      </c>
      <c r="J688" t="s">
        <v>56</v>
      </c>
      <c r="K688">
        <v>3</v>
      </c>
      <c r="L688">
        <v>23</v>
      </c>
      <c r="M688">
        <v>2031</v>
      </c>
      <c r="N688" t="s">
        <v>47</v>
      </c>
      <c r="O688" s="5">
        <f>DATE(Tabela1[[#This Row],[vigencia ano]],Tabela1[[#This Row],[vigencia mês]],Tabela1[[#This Row],[vigencia dia]])</f>
        <v>48521</v>
      </c>
    </row>
    <row r="689" spans="1:15" x14ac:dyDescent="0.25">
      <c r="A689" t="s">
        <v>41</v>
      </c>
      <c r="B689" t="s">
        <v>2766</v>
      </c>
      <c r="C689" s="1">
        <v>42970999000141</v>
      </c>
      <c r="D689" t="s">
        <v>2767</v>
      </c>
      <c r="E689" t="s">
        <v>2768</v>
      </c>
      <c r="F689" t="s">
        <v>4</v>
      </c>
      <c r="G689">
        <v>6612260</v>
      </c>
      <c r="H689" t="s">
        <v>367</v>
      </c>
      <c r="I689" t="s">
        <v>2769</v>
      </c>
      <c r="J689" t="s">
        <v>56</v>
      </c>
      <c r="K689">
        <v>3</v>
      </c>
      <c r="L689">
        <v>21</v>
      </c>
      <c r="M689">
        <v>2032</v>
      </c>
      <c r="N689" t="s">
        <v>47</v>
      </c>
      <c r="O689" s="5">
        <f>DATE(Tabela1[[#This Row],[vigencia ano]],Tabela1[[#This Row],[vigencia mês]],Tabela1[[#This Row],[vigencia dia]])</f>
        <v>48825</v>
      </c>
    </row>
    <row r="690" spans="1:15" x14ac:dyDescent="0.25">
      <c r="A690" t="s">
        <v>41</v>
      </c>
      <c r="B690" t="s">
        <v>2770</v>
      </c>
      <c r="C690" s="1">
        <v>4654989000108</v>
      </c>
      <c r="D690" t="s">
        <v>2771</v>
      </c>
      <c r="E690" t="s">
        <v>2772</v>
      </c>
      <c r="F690" t="s">
        <v>4</v>
      </c>
      <c r="G690">
        <v>13209430</v>
      </c>
      <c r="H690" t="s">
        <v>2773</v>
      </c>
      <c r="I690" t="s">
        <v>2774</v>
      </c>
      <c r="J690" t="s">
        <v>56</v>
      </c>
      <c r="K690">
        <v>7</v>
      </c>
      <c r="L690">
        <v>4</v>
      </c>
      <c r="M690">
        <v>2021</v>
      </c>
      <c r="N690" t="s">
        <v>47</v>
      </c>
      <c r="O690" s="5">
        <f>DATE(Tabela1[[#This Row],[vigencia ano]],Tabela1[[#This Row],[vigencia mês]],Tabela1[[#This Row],[vigencia dia]])</f>
        <v>44293</v>
      </c>
    </row>
    <row r="691" spans="1:15" x14ac:dyDescent="0.25">
      <c r="A691" t="s">
        <v>41</v>
      </c>
      <c r="B691" t="s">
        <v>2775</v>
      </c>
      <c r="C691" s="1">
        <v>13000000000000</v>
      </c>
      <c r="D691" t="s">
        <v>2776</v>
      </c>
      <c r="E691" t="s">
        <v>2772</v>
      </c>
      <c r="F691" t="s">
        <v>4</v>
      </c>
      <c r="G691">
        <v>13209430</v>
      </c>
      <c r="H691" t="s">
        <v>2777</v>
      </c>
      <c r="I691" t="s">
        <v>2778</v>
      </c>
      <c r="J691" t="s">
        <v>56</v>
      </c>
      <c r="K691">
        <v>3</v>
      </c>
      <c r="L691">
        <v>27</v>
      </c>
      <c r="M691">
        <v>2027</v>
      </c>
      <c r="N691" t="s">
        <v>47</v>
      </c>
      <c r="O691" s="5">
        <f>DATE(Tabela1[[#This Row],[vigencia ano]],Tabela1[[#This Row],[vigencia mês]],Tabela1[[#This Row],[vigencia dia]])</f>
        <v>47180</v>
      </c>
    </row>
    <row r="692" spans="1:15" x14ac:dyDescent="0.25">
      <c r="A692" t="s">
        <v>41</v>
      </c>
      <c r="B692" t="s">
        <v>2779</v>
      </c>
      <c r="C692" s="1">
        <v>50935436000140</v>
      </c>
      <c r="D692" t="s">
        <v>2780</v>
      </c>
      <c r="E692" t="s">
        <v>2772</v>
      </c>
      <c r="F692" t="s">
        <v>4</v>
      </c>
      <c r="G692">
        <v>13215276</v>
      </c>
      <c r="H692" t="s">
        <v>2781</v>
      </c>
      <c r="I692" t="s">
        <v>2782</v>
      </c>
      <c r="J692" t="s">
        <v>56</v>
      </c>
      <c r="K692">
        <v>8</v>
      </c>
      <c r="L692">
        <v>23</v>
      </c>
      <c r="M692">
        <v>2015</v>
      </c>
      <c r="N692" t="s">
        <v>47</v>
      </c>
      <c r="O692" s="5">
        <f>DATE(Tabela1[[#This Row],[vigencia ano]],Tabela1[[#This Row],[vigencia mês]],Tabela1[[#This Row],[vigencia dia]])</f>
        <v>42682</v>
      </c>
    </row>
    <row r="693" spans="1:15" x14ac:dyDescent="0.25">
      <c r="A693" t="s">
        <v>41</v>
      </c>
      <c r="B693" t="s">
        <v>2783</v>
      </c>
      <c r="C693" s="1">
        <v>68316801000102</v>
      </c>
      <c r="D693" t="s">
        <v>2784</v>
      </c>
      <c r="E693" t="s">
        <v>2785</v>
      </c>
      <c r="F693" t="s">
        <v>4</v>
      </c>
      <c r="G693">
        <v>17890000</v>
      </c>
      <c r="H693" t="s">
        <v>2786</v>
      </c>
      <c r="I693" t="s">
        <v>2787</v>
      </c>
      <c r="J693" t="s">
        <v>56</v>
      </c>
      <c r="K693">
        <v>10</v>
      </c>
      <c r="L693">
        <v>25</v>
      </c>
      <c r="M693">
        <v>2023</v>
      </c>
      <c r="N693" t="s">
        <v>47</v>
      </c>
      <c r="O693" s="5">
        <f>DATE(Tabela1[[#This Row],[vigencia ano]],Tabela1[[#This Row],[vigencia mês]],Tabela1[[#This Row],[vigencia dia]])</f>
        <v>45667</v>
      </c>
    </row>
    <row r="694" spans="1:15" x14ac:dyDescent="0.25">
      <c r="A694" t="s">
        <v>41</v>
      </c>
      <c r="B694" t="s">
        <v>2788</v>
      </c>
      <c r="C694" s="1">
        <v>51485274000159</v>
      </c>
      <c r="D694" t="s">
        <v>2789</v>
      </c>
      <c r="E694" t="s">
        <v>2790</v>
      </c>
      <c r="F694" t="s">
        <v>4</v>
      </c>
      <c r="G694">
        <v>13486199</v>
      </c>
      <c r="H694" t="s">
        <v>2791</v>
      </c>
      <c r="I694" t="s">
        <v>2792</v>
      </c>
      <c r="J694" t="s">
        <v>56</v>
      </c>
      <c r="K694">
        <v>10</v>
      </c>
      <c r="L694">
        <v>25</v>
      </c>
      <c r="M694">
        <v>2015</v>
      </c>
      <c r="N694" t="s">
        <v>47</v>
      </c>
      <c r="O694" s="5">
        <f>DATE(Tabela1[[#This Row],[vigencia ano]],Tabela1[[#This Row],[vigencia mês]],Tabela1[[#This Row],[vigencia dia]])</f>
        <v>42745</v>
      </c>
    </row>
    <row r="695" spans="1:15" x14ac:dyDescent="0.25">
      <c r="A695" t="s">
        <v>41</v>
      </c>
      <c r="B695" t="s">
        <v>2793</v>
      </c>
      <c r="C695" s="1">
        <v>321584000105</v>
      </c>
      <c r="D695" t="s">
        <v>2794</v>
      </c>
      <c r="E695" t="s">
        <v>2790</v>
      </c>
      <c r="F695" t="s">
        <v>4</v>
      </c>
      <c r="G695">
        <v>13480000</v>
      </c>
      <c r="H695" t="s">
        <v>2795</v>
      </c>
      <c r="I695" t="s">
        <v>2796</v>
      </c>
      <c r="J695" t="s">
        <v>56</v>
      </c>
      <c r="K695">
        <v>5</v>
      </c>
      <c r="L695">
        <v>8</v>
      </c>
      <c r="M695">
        <v>2035</v>
      </c>
      <c r="N695" t="s">
        <v>2797</v>
      </c>
      <c r="O695" s="5">
        <f>DATE(Tabela1[[#This Row],[vigencia ano]],Tabela1[[#This Row],[vigencia mês]],Tabela1[[#This Row],[vigencia dia]])</f>
        <v>49526</v>
      </c>
    </row>
    <row r="696" spans="1:15" x14ac:dyDescent="0.25">
      <c r="A696" t="s">
        <v>41</v>
      </c>
      <c r="B696" t="s">
        <v>2793</v>
      </c>
      <c r="C696" s="1">
        <v>321584000105</v>
      </c>
      <c r="D696" t="s">
        <v>2794</v>
      </c>
      <c r="E696" t="s">
        <v>2790</v>
      </c>
      <c r="F696" t="s">
        <v>4</v>
      </c>
      <c r="G696">
        <v>13480000</v>
      </c>
      <c r="H696" t="s">
        <v>2798</v>
      </c>
      <c r="I696" t="s">
        <v>2796</v>
      </c>
      <c r="J696" t="s">
        <v>56</v>
      </c>
      <c r="K696">
        <v>5</v>
      </c>
      <c r="L696">
        <v>8</v>
      </c>
      <c r="M696">
        <v>2035</v>
      </c>
      <c r="N696" t="s">
        <v>2797</v>
      </c>
      <c r="O696" s="5">
        <f>DATE(Tabela1[[#This Row],[vigencia ano]],Tabela1[[#This Row],[vigencia mês]],Tabela1[[#This Row],[vigencia dia]])</f>
        <v>49526</v>
      </c>
    </row>
    <row r="697" spans="1:15" x14ac:dyDescent="0.25">
      <c r="A697" t="s">
        <v>41</v>
      </c>
      <c r="B697" t="s">
        <v>2799</v>
      </c>
      <c r="C697" s="1">
        <v>67174185000121</v>
      </c>
      <c r="D697" t="s">
        <v>2800</v>
      </c>
      <c r="E697" t="s">
        <v>2801</v>
      </c>
      <c r="F697" t="s">
        <v>4</v>
      </c>
      <c r="G697">
        <v>9340270</v>
      </c>
      <c r="H697" t="s">
        <v>2802</v>
      </c>
      <c r="I697" t="s">
        <v>2803</v>
      </c>
      <c r="J697" t="s">
        <v>56</v>
      </c>
      <c r="K697">
        <v>4</v>
      </c>
      <c r="L697">
        <v>15</v>
      </c>
      <c r="M697">
        <v>2034</v>
      </c>
      <c r="N697" t="s">
        <v>47</v>
      </c>
      <c r="O697" s="5">
        <f>DATE(Tabela1[[#This Row],[vigencia ano]],Tabela1[[#This Row],[vigencia mês]],Tabela1[[#This Row],[vigencia dia]])</f>
        <v>49372</v>
      </c>
    </row>
    <row r="698" spans="1:15" x14ac:dyDescent="0.25">
      <c r="A698" t="s">
        <v>41</v>
      </c>
      <c r="B698" t="s">
        <v>2804</v>
      </c>
      <c r="C698" s="1">
        <v>19504553000100</v>
      </c>
      <c r="D698" t="s">
        <v>2805</v>
      </c>
      <c r="E698" t="s">
        <v>2801</v>
      </c>
      <c r="F698" t="s">
        <v>4</v>
      </c>
      <c r="G698">
        <v>9370800</v>
      </c>
      <c r="H698" t="s">
        <v>2806</v>
      </c>
      <c r="I698" t="s">
        <v>2807</v>
      </c>
      <c r="J698" t="s">
        <v>56</v>
      </c>
      <c r="K698">
        <v>5</v>
      </c>
      <c r="L698">
        <v>11</v>
      </c>
      <c r="M698">
        <v>2036</v>
      </c>
      <c r="N698" t="s">
        <v>2808</v>
      </c>
      <c r="O698" s="5">
        <f>DATE(Tabela1[[#This Row],[vigencia ano]],Tabela1[[#This Row],[vigencia mês]],Tabela1[[#This Row],[vigencia dia]])</f>
        <v>49984</v>
      </c>
    </row>
    <row r="699" spans="1:15" x14ac:dyDescent="0.25">
      <c r="A699" t="s">
        <v>41</v>
      </c>
      <c r="B699" t="s">
        <v>2809</v>
      </c>
      <c r="C699" s="1">
        <v>13520755000169</v>
      </c>
      <c r="D699" t="s">
        <v>2810</v>
      </c>
      <c r="E699" t="s">
        <v>2801</v>
      </c>
      <c r="F699" t="s">
        <v>4</v>
      </c>
      <c r="G699">
        <v>9370800</v>
      </c>
      <c r="H699" t="s">
        <v>2806</v>
      </c>
      <c r="I699" t="s">
        <v>2811</v>
      </c>
      <c r="J699" t="s">
        <v>56</v>
      </c>
      <c r="K699">
        <v>5</v>
      </c>
      <c r="L699">
        <v>13</v>
      </c>
      <c r="M699">
        <v>2036</v>
      </c>
      <c r="N699" t="s">
        <v>2812</v>
      </c>
      <c r="O699" s="5">
        <f>DATE(Tabela1[[#This Row],[vigencia ano]],Tabela1[[#This Row],[vigencia mês]],Tabela1[[#This Row],[vigencia dia]])</f>
        <v>50045</v>
      </c>
    </row>
    <row r="700" spans="1:15" x14ac:dyDescent="0.25">
      <c r="A700" t="s">
        <v>41</v>
      </c>
      <c r="B700" t="s">
        <v>2813</v>
      </c>
      <c r="C700" s="1">
        <v>15136125000110</v>
      </c>
      <c r="D700" t="s">
        <v>2814</v>
      </c>
      <c r="E700" t="s">
        <v>2815</v>
      </c>
      <c r="F700" t="s">
        <v>4</v>
      </c>
      <c r="G700">
        <v>8725405</v>
      </c>
      <c r="H700" t="s">
        <v>2816</v>
      </c>
      <c r="I700" t="s">
        <v>2817</v>
      </c>
      <c r="J700" t="s">
        <v>56</v>
      </c>
      <c r="K700">
        <v>1</v>
      </c>
      <c r="L700">
        <v>27</v>
      </c>
      <c r="M700">
        <v>2030</v>
      </c>
      <c r="N700" t="s">
        <v>47</v>
      </c>
      <c r="O700" s="5">
        <f>DATE(Tabela1[[#This Row],[vigencia ano]],Tabela1[[#This Row],[vigencia mês]],Tabela1[[#This Row],[vigencia dia]])</f>
        <v>48274</v>
      </c>
    </row>
    <row r="701" spans="1:15" x14ac:dyDescent="0.25">
      <c r="A701" t="s">
        <v>41</v>
      </c>
      <c r="B701" t="s">
        <v>2818</v>
      </c>
      <c r="C701" s="1">
        <v>18023962000121</v>
      </c>
      <c r="D701" t="s">
        <v>2819</v>
      </c>
      <c r="E701" t="s">
        <v>2820</v>
      </c>
      <c r="F701" t="s">
        <v>4</v>
      </c>
      <c r="G701">
        <v>13190000</v>
      </c>
      <c r="H701" t="s">
        <v>2821</v>
      </c>
      <c r="I701" t="s">
        <v>2822</v>
      </c>
      <c r="J701" t="s">
        <v>56</v>
      </c>
      <c r="K701">
        <v>6</v>
      </c>
      <c r="L701">
        <v>27</v>
      </c>
      <c r="M701">
        <v>2027</v>
      </c>
      <c r="N701" t="s">
        <v>47</v>
      </c>
      <c r="O701" s="5">
        <f>DATE(Tabela1[[#This Row],[vigencia ano]],Tabela1[[#This Row],[vigencia mês]],Tabela1[[#This Row],[vigencia dia]])</f>
        <v>47183</v>
      </c>
    </row>
    <row r="702" spans="1:15" x14ac:dyDescent="0.25">
      <c r="A702" t="s">
        <v>41</v>
      </c>
      <c r="B702" t="s">
        <v>2823</v>
      </c>
      <c r="C702" s="1">
        <v>1014373000184</v>
      </c>
      <c r="D702" t="s">
        <v>2824</v>
      </c>
      <c r="E702" t="s">
        <v>2825</v>
      </c>
      <c r="F702" t="s">
        <v>4</v>
      </c>
      <c r="G702">
        <v>13260000</v>
      </c>
      <c r="H702" t="s">
        <v>2826</v>
      </c>
      <c r="I702" t="s">
        <v>2827</v>
      </c>
      <c r="J702" t="s">
        <v>56</v>
      </c>
      <c r="K702">
        <v>1</v>
      </c>
      <c r="L702">
        <v>23</v>
      </c>
      <c r="M702">
        <v>2027</v>
      </c>
      <c r="N702" t="s">
        <v>47</v>
      </c>
      <c r="O702" s="5">
        <f>DATE(Tabela1[[#This Row],[vigencia ano]],Tabela1[[#This Row],[vigencia mês]],Tabela1[[#This Row],[vigencia dia]])</f>
        <v>47058</v>
      </c>
    </row>
    <row r="703" spans="1:15" x14ac:dyDescent="0.25">
      <c r="A703" t="s">
        <v>41</v>
      </c>
      <c r="B703" t="s">
        <v>2828</v>
      </c>
      <c r="C703" s="1">
        <v>15121491000953</v>
      </c>
      <c r="D703" t="s">
        <v>2829</v>
      </c>
      <c r="E703" t="s">
        <v>2830</v>
      </c>
      <c r="F703" t="s">
        <v>4</v>
      </c>
      <c r="G703">
        <v>6210108</v>
      </c>
      <c r="H703" t="s">
        <v>2831</v>
      </c>
      <c r="I703" t="s">
        <v>2832</v>
      </c>
      <c r="J703" t="s">
        <v>56</v>
      </c>
      <c r="K703">
        <v>8</v>
      </c>
      <c r="L703">
        <v>23</v>
      </c>
      <c r="M703">
        <v>2032</v>
      </c>
      <c r="N703" t="s">
        <v>47</v>
      </c>
      <c r="O703" s="5">
        <f>DATE(Tabela1[[#This Row],[vigencia ano]],Tabela1[[#This Row],[vigencia mês]],Tabela1[[#This Row],[vigencia dia]])</f>
        <v>48891</v>
      </c>
    </row>
    <row r="704" spans="1:15" x14ac:dyDescent="0.25">
      <c r="A704" t="s">
        <v>41</v>
      </c>
      <c r="B704" t="s">
        <v>2833</v>
      </c>
      <c r="C704" s="1">
        <v>7284039000127</v>
      </c>
      <c r="D704" t="s">
        <v>2834</v>
      </c>
      <c r="E704" t="s">
        <v>2830</v>
      </c>
      <c r="F704" t="s">
        <v>4</v>
      </c>
      <c r="G704">
        <v>6290150</v>
      </c>
      <c r="H704" t="s">
        <v>2835</v>
      </c>
      <c r="I704" t="s">
        <v>2836</v>
      </c>
      <c r="J704" t="s">
        <v>46</v>
      </c>
      <c r="K704">
        <v>10</v>
      </c>
      <c r="L704">
        <v>26</v>
      </c>
      <c r="M704">
        <v>2025</v>
      </c>
      <c r="N704" t="s">
        <v>47</v>
      </c>
      <c r="O704" s="5">
        <f>DATE(Tabela1[[#This Row],[vigencia ano]],Tabela1[[#This Row],[vigencia mês]],Tabela1[[#This Row],[vigencia dia]])</f>
        <v>46428</v>
      </c>
    </row>
    <row r="705" spans="1:15" x14ac:dyDescent="0.25">
      <c r="A705" t="s">
        <v>41</v>
      </c>
      <c r="B705" t="s">
        <v>2837</v>
      </c>
      <c r="C705" s="1">
        <v>5886614000136</v>
      </c>
      <c r="D705" t="s">
        <v>2838</v>
      </c>
      <c r="E705" t="s">
        <v>2830</v>
      </c>
      <c r="F705" t="s">
        <v>4</v>
      </c>
      <c r="G705">
        <v>6210108</v>
      </c>
      <c r="H705" t="s">
        <v>2839</v>
      </c>
      <c r="I705" t="s">
        <v>2840</v>
      </c>
      <c r="J705" t="s">
        <v>56</v>
      </c>
      <c r="K705">
        <v>2</v>
      </c>
      <c r="L705">
        <v>7</v>
      </c>
      <c r="M705">
        <v>2028</v>
      </c>
      <c r="N705" t="s">
        <v>47</v>
      </c>
      <c r="O705" s="5">
        <f>DATE(Tabela1[[#This Row],[vigencia ano]],Tabela1[[#This Row],[vigencia mês]],Tabela1[[#This Row],[vigencia dia]])</f>
        <v>46936</v>
      </c>
    </row>
    <row r="706" spans="1:15" x14ac:dyDescent="0.25">
      <c r="A706" t="s">
        <v>41</v>
      </c>
      <c r="B706" t="s">
        <v>2841</v>
      </c>
      <c r="C706" s="1">
        <v>669395000110</v>
      </c>
      <c r="D706" t="s">
        <v>2842</v>
      </c>
      <c r="E706" t="s">
        <v>2830</v>
      </c>
      <c r="F706" t="s">
        <v>4</v>
      </c>
      <c r="G706">
        <v>6213005</v>
      </c>
      <c r="H706" t="s">
        <v>2843</v>
      </c>
      <c r="I706" t="s">
        <v>2844</v>
      </c>
      <c r="J706" t="s">
        <v>56</v>
      </c>
      <c r="K706">
        <v>9</v>
      </c>
      <c r="L706">
        <v>17</v>
      </c>
      <c r="M706">
        <v>2023</v>
      </c>
      <c r="N706" t="s">
        <v>47</v>
      </c>
      <c r="O706" s="5">
        <f>DATE(Tabela1[[#This Row],[vigencia ano]],Tabela1[[#This Row],[vigencia mês]],Tabela1[[#This Row],[vigencia dia]])</f>
        <v>45421</v>
      </c>
    </row>
    <row r="707" spans="1:15" x14ac:dyDescent="0.25">
      <c r="A707" t="s">
        <v>41</v>
      </c>
      <c r="B707" t="s">
        <v>2845</v>
      </c>
      <c r="C707" s="1">
        <v>60910775000126</v>
      </c>
      <c r="D707" t="s">
        <v>2846</v>
      </c>
      <c r="E707" t="s">
        <v>2830</v>
      </c>
      <c r="F707" t="s">
        <v>4</v>
      </c>
      <c r="G707">
        <v>6223200</v>
      </c>
      <c r="H707" t="s">
        <v>2847</v>
      </c>
      <c r="I707" t="s">
        <v>2848</v>
      </c>
      <c r="J707" t="s">
        <v>56</v>
      </c>
      <c r="K707">
        <v>3</v>
      </c>
      <c r="L707">
        <v>22</v>
      </c>
      <c r="M707">
        <v>2028</v>
      </c>
      <c r="N707" t="s">
        <v>47</v>
      </c>
      <c r="O707" s="5">
        <f>DATE(Tabela1[[#This Row],[vigencia ano]],Tabela1[[#This Row],[vigencia mês]],Tabela1[[#This Row],[vigencia dia]])</f>
        <v>47394</v>
      </c>
    </row>
    <row r="708" spans="1:15" x14ac:dyDescent="0.25">
      <c r="A708" t="s">
        <v>41</v>
      </c>
      <c r="B708" t="s">
        <v>2849</v>
      </c>
      <c r="C708" s="1">
        <v>20121850000155</v>
      </c>
      <c r="D708" t="s">
        <v>2850</v>
      </c>
      <c r="E708" t="s">
        <v>2830</v>
      </c>
      <c r="F708" t="s">
        <v>4</v>
      </c>
      <c r="G708">
        <v>6233903</v>
      </c>
      <c r="H708" t="s">
        <v>2851</v>
      </c>
      <c r="I708" t="s">
        <v>2852</v>
      </c>
      <c r="J708" t="s">
        <v>56</v>
      </c>
      <c r="K708">
        <v>8</v>
      </c>
      <c r="L708">
        <v>21</v>
      </c>
      <c r="M708">
        <v>2028</v>
      </c>
      <c r="N708" t="s">
        <v>47</v>
      </c>
      <c r="O708" s="5">
        <f>DATE(Tabela1[[#This Row],[vigencia ano]],Tabela1[[#This Row],[vigencia mês]],Tabela1[[#This Row],[vigencia dia]])</f>
        <v>47369</v>
      </c>
    </row>
    <row r="709" spans="1:15" x14ac:dyDescent="0.25">
      <c r="A709" t="s">
        <v>41</v>
      </c>
      <c r="B709" t="s">
        <v>2853</v>
      </c>
      <c r="C709" s="1">
        <v>36674010000150</v>
      </c>
      <c r="D709" t="s">
        <v>2854</v>
      </c>
      <c r="E709" t="s">
        <v>2830</v>
      </c>
      <c r="F709" t="s">
        <v>4</v>
      </c>
      <c r="G709">
        <v>6122050</v>
      </c>
      <c r="H709" t="s">
        <v>2855</v>
      </c>
      <c r="I709" t="s">
        <v>2856</v>
      </c>
      <c r="J709" t="s">
        <v>56</v>
      </c>
      <c r="K709">
        <v>7</v>
      </c>
      <c r="L709">
        <v>17</v>
      </c>
      <c r="M709">
        <v>2030</v>
      </c>
      <c r="N709" t="s">
        <v>47</v>
      </c>
      <c r="O709" s="5">
        <f>DATE(Tabela1[[#This Row],[vigencia ano]],Tabela1[[#This Row],[vigencia mês]],Tabela1[[#This Row],[vigencia dia]])</f>
        <v>47975</v>
      </c>
    </row>
    <row r="710" spans="1:15" x14ac:dyDescent="0.25">
      <c r="A710" t="s">
        <v>41</v>
      </c>
      <c r="B710" t="s">
        <v>2857</v>
      </c>
      <c r="C710" s="1">
        <v>29425065000160</v>
      </c>
      <c r="D710" t="s">
        <v>2858</v>
      </c>
      <c r="E710" t="s">
        <v>2859</v>
      </c>
      <c r="F710" t="s">
        <v>4</v>
      </c>
      <c r="G710">
        <v>19906520</v>
      </c>
      <c r="H710" t="s">
        <v>2860</v>
      </c>
      <c r="I710" t="s">
        <v>2861</v>
      </c>
      <c r="J710" t="s">
        <v>56</v>
      </c>
      <c r="K710">
        <v>9</v>
      </c>
      <c r="L710">
        <v>4</v>
      </c>
      <c r="M710">
        <v>2030</v>
      </c>
      <c r="N710" t="s">
        <v>47</v>
      </c>
      <c r="O710" s="5">
        <f>DATE(Tabela1[[#This Row],[vigencia ano]],Tabela1[[#This Row],[vigencia mês]],Tabela1[[#This Row],[vigencia dia]])</f>
        <v>47582</v>
      </c>
    </row>
    <row r="711" spans="1:15" x14ac:dyDescent="0.25">
      <c r="A711" t="s">
        <v>41</v>
      </c>
      <c r="B711" t="s">
        <v>2862</v>
      </c>
      <c r="C711" s="1">
        <v>9558301000100</v>
      </c>
      <c r="D711" t="s">
        <v>2863</v>
      </c>
      <c r="E711" t="s">
        <v>2864</v>
      </c>
      <c r="F711" t="s">
        <v>4</v>
      </c>
      <c r="G711">
        <v>18170000</v>
      </c>
      <c r="H711" t="s">
        <v>2865</v>
      </c>
      <c r="I711" t="s">
        <v>2866</v>
      </c>
      <c r="J711" t="s">
        <v>46</v>
      </c>
      <c r="K711">
        <v>1</v>
      </c>
      <c r="L711">
        <v>11</v>
      </c>
      <c r="M711">
        <v>2023</v>
      </c>
      <c r="N711" t="s">
        <v>47</v>
      </c>
      <c r="O711" s="5">
        <f>DATE(Tabela1[[#This Row],[vigencia ano]],Tabela1[[#This Row],[vigencia mês]],Tabela1[[#This Row],[vigencia dia]])</f>
        <v>45231</v>
      </c>
    </row>
    <row r="712" spans="1:15" x14ac:dyDescent="0.25">
      <c r="A712" t="s">
        <v>41</v>
      </c>
      <c r="B712" t="s">
        <v>2867</v>
      </c>
      <c r="C712" s="1">
        <v>46961303000171</v>
      </c>
      <c r="D712" t="s">
        <v>2868</v>
      </c>
      <c r="E712" t="s">
        <v>2869</v>
      </c>
      <c r="F712" t="s">
        <v>4</v>
      </c>
      <c r="G712">
        <v>12422531</v>
      </c>
      <c r="H712" t="s">
        <v>2870</v>
      </c>
      <c r="I712" t="s">
        <v>2871</v>
      </c>
      <c r="J712" t="s">
        <v>56</v>
      </c>
      <c r="K712">
        <v>4</v>
      </c>
      <c r="L712">
        <v>19</v>
      </c>
      <c r="M712">
        <v>2033</v>
      </c>
      <c r="N712" t="s">
        <v>47</v>
      </c>
      <c r="O712" s="5">
        <f>DATE(Tabela1[[#This Row],[vigencia ano]],Tabela1[[#This Row],[vigencia mês]],Tabela1[[#This Row],[vigencia dia]])</f>
        <v>49129</v>
      </c>
    </row>
    <row r="713" spans="1:15" x14ac:dyDescent="0.25">
      <c r="A713" t="s">
        <v>41</v>
      </c>
      <c r="B713" t="s">
        <v>2872</v>
      </c>
      <c r="C713" s="1">
        <v>21329965000100</v>
      </c>
      <c r="D713" t="s">
        <v>2873</v>
      </c>
      <c r="E713" t="s">
        <v>2869</v>
      </c>
      <c r="F713" t="s">
        <v>4</v>
      </c>
      <c r="G713">
        <v>12414240</v>
      </c>
      <c r="H713" t="s">
        <v>2870</v>
      </c>
      <c r="I713" t="s">
        <v>2874</v>
      </c>
      <c r="J713" t="s">
        <v>56</v>
      </c>
      <c r="K713">
        <v>5</v>
      </c>
      <c r="L713">
        <v>26</v>
      </c>
      <c r="M713">
        <v>2031</v>
      </c>
      <c r="N713" t="s">
        <v>47</v>
      </c>
      <c r="O713" s="5">
        <f>DATE(Tabela1[[#This Row],[vigencia ano]],Tabela1[[#This Row],[vigencia mês]],Tabela1[[#This Row],[vigencia dia]])</f>
        <v>48615</v>
      </c>
    </row>
    <row r="714" spans="1:15" x14ac:dyDescent="0.25">
      <c r="A714" t="s">
        <v>41</v>
      </c>
      <c r="B714" t="s">
        <v>2875</v>
      </c>
      <c r="C714" s="1">
        <v>13272177000199</v>
      </c>
      <c r="D714" t="s">
        <v>2876</v>
      </c>
      <c r="E714" t="s">
        <v>2877</v>
      </c>
      <c r="F714" t="s">
        <v>4</v>
      </c>
      <c r="G714">
        <v>13413500</v>
      </c>
      <c r="H714" t="s">
        <v>2878</v>
      </c>
      <c r="I714" t="s">
        <v>2879</v>
      </c>
      <c r="J714" t="s">
        <v>46</v>
      </c>
      <c r="K714">
        <v>11</v>
      </c>
      <c r="L714">
        <v>16</v>
      </c>
      <c r="M714">
        <v>2031</v>
      </c>
      <c r="N714" t="s">
        <v>47</v>
      </c>
      <c r="O714" s="5">
        <f>DATE(Tabela1[[#This Row],[vigencia ano]],Tabela1[[#This Row],[vigencia mês]],Tabela1[[#This Row],[vigencia dia]])</f>
        <v>48315</v>
      </c>
    </row>
    <row r="715" spans="1:15" x14ac:dyDescent="0.25">
      <c r="A715" t="s">
        <v>41</v>
      </c>
      <c r="B715" t="s">
        <v>2880</v>
      </c>
      <c r="C715" s="1">
        <v>9341293000145</v>
      </c>
      <c r="D715" t="s">
        <v>2881</v>
      </c>
      <c r="E715" t="s">
        <v>2882</v>
      </c>
      <c r="F715" t="s">
        <v>4</v>
      </c>
      <c r="G715">
        <v>8557710</v>
      </c>
      <c r="H715" t="s">
        <v>2883</v>
      </c>
      <c r="I715" t="s">
        <v>2884</v>
      </c>
      <c r="J715" t="s">
        <v>46</v>
      </c>
      <c r="K715">
        <v>12</v>
      </c>
      <c r="L715">
        <v>10</v>
      </c>
      <c r="M715">
        <v>2030</v>
      </c>
      <c r="N715" t="s">
        <v>47</v>
      </c>
      <c r="O715" s="5">
        <f>DATE(Tabela1[[#This Row],[vigencia ano]],Tabela1[[#This Row],[vigencia mês]],Tabela1[[#This Row],[vigencia dia]])</f>
        <v>47768</v>
      </c>
    </row>
    <row r="716" spans="1:15" x14ac:dyDescent="0.25">
      <c r="A716" t="s">
        <v>41</v>
      </c>
      <c r="B716" t="s">
        <v>2880</v>
      </c>
      <c r="C716" s="1">
        <v>9341293000145</v>
      </c>
      <c r="D716" t="s">
        <v>2881</v>
      </c>
      <c r="E716" t="s">
        <v>2882</v>
      </c>
      <c r="F716" t="s">
        <v>4</v>
      </c>
      <c r="G716">
        <v>8557710</v>
      </c>
      <c r="H716" t="s">
        <v>2885</v>
      </c>
      <c r="I716" t="s">
        <v>2884</v>
      </c>
      <c r="J716" t="s">
        <v>46</v>
      </c>
      <c r="K716">
        <v>12</v>
      </c>
      <c r="L716">
        <v>10</v>
      </c>
      <c r="M716">
        <v>2030</v>
      </c>
      <c r="N716" t="s">
        <v>47</v>
      </c>
      <c r="O716" s="5">
        <f>DATE(Tabela1[[#This Row],[vigencia ano]],Tabela1[[#This Row],[vigencia mês]],Tabela1[[#This Row],[vigencia dia]])</f>
        <v>47768</v>
      </c>
    </row>
    <row r="717" spans="1:15" x14ac:dyDescent="0.25">
      <c r="A717" t="s">
        <v>41</v>
      </c>
      <c r="B717" t="s">
        <v>2886</v>
      </c>
      <c r="C717" s="1">
        <v>5117268000121</v>
      </c>
      <c r="D717" t="s">
        <v>2887</v>
      </c>
      <c r="E717" t="s">
        <v>2888</v>
      </c>
      <c r="F717" t="s">
        <v>4</v>
      </c>
      <c r="G717">
        <v>13506095</v>
      </c>
      <c r="H717" t="s">
        <v>2889</v>
      </c>
      <c r="I717" t="s">
        <v>2890</v>
      </c>
      <c r="J717" t="s">
        <v>56</v>
      </c>
      <c r="K717">
        <v>4</v>
      </c>
      <c r="L717">
        <v>6</v>
      </c>
      <c r="M717">
        <v>2036</v>
      </c>
      <c r="N717" t="s">
        <v>2891</v>
      </c>
      <c r="O717" s="5">
        <f>DATE(Tabela1[[#This Row],[vigencia ano]],Tabela1[[#This Row],[vigencia mês]],Tabela1[[#This Row],[vigencia dia]])</f>
        <v>49830</v>
      </c>
    </row>
    <row r="718" spans="1:15" x14ac:dyDescent="0.25">
      <c r="A718" t="s">
        <v>41</v>
      </c>
      <c r="B718" t="s">
        <v>2892</v>
      </c>
      <c r="C718" s="1">
        <v>22073054000110</v>
      </c>
      <c r="D718" t="s">
        <v>2893</v>
      </c>
      <c r="E718" t="s">
        <v>2888</v>
      </c>
      <c r="F718" t="s">
        <v>4</v>
      </c>
      <c r="G718">
        <v>13500143</v>
      </c>
      <c r="H718" t="s">
        <v>2894</v>
      </c>
      <c r="I718" t="s">
        <v>2895</v>
      </c>
      <c r="J718" t="s">
        <v>56</v>
      </c>
      <c r="K718">
        <v>1</v>
      </c>
      <c r="L718">
        <v>13</v>
      </c>
      <c r="M718">
        <v>2031</v>
      </c>
      <c r="N718" t="s">
        <v>47</v>
      </c>
      <c r="O718" s="5">
        <f>DATE(Tabela1[[#This Row],[vigencia ano]],Tabela1[[#This Row],[vigencia mês]],Tabela1[[#This Row],[vigencia dia]])</f>
        <v>48214</v>
      </c>
    </row>
    <row r="719" spans="1:15" x14ac:dyDescent="0.25">
      <c r="A719" t="s">
        <v>41</v>
      </c>
      <c r="B719" t="s">
        <v>2896</v>
      </c>
      <c r="C719" s="1">
        <v>35547205000176</v>
      </c>
      <c r="D719" t="s">
        <v>2897</v>
      </c>
      <c r="E719" t="s">
        <v>2898</v>
      </c>
      <c r="F719" t="s">
        <v>4</v>
      </c>
      <c r="G719">
        <v>13322230</v>
      </c>
      <c r="H719" t="s">
        <v>2899</v>
      </c>
      <c r="I719" t="s">
        <v>2900</v>
      </c>
      <c r="J719" t="s">
        <v>56</v>
      </c>
      <c r="K719">
        <v>3</v>
      </c>
      <c r="L719">
        <v>10</v>
      </c>
      <c r="M719">
        <v>2033</v>
      </c>
      <c r="N719" t="s">
        <v>47</v>
      </c>
      <c r="O719" s="5">
        <f>DATE(Tabela1[[#This Row],[vigencia ano]],Tabela1[[#This Row],[vigencia mês]],Tabela1[[#This Row],[vigencia dia]])</f>
        <v>48855</v>
      </c>
    </row>
    <row r="720" spans="1:15" x14ac:dyDescent="0.25">
      <c r="A720" t="s">
        <v>41</v>
      </c>
      <c r="B720" t="s">
        <v>2901</v>
      </c>
      <c r="C720" s="1">
        <v>3006712000106</v>
      </c>
      <c r="D720" t="s">
        <v>2902</v>
      </c>
      <c r="E720" t="s">
        <v>2903</v>
      </c>
      <c r="F720" t="s">
        <v>4</v>
      </c>
      <c r="G720">
        <v>6502345</v>
      </c>
      <c r="H720" t="s">
        <v>2904</v>
      </c>
      <c r="I720" t="s">
        <v>2905</v>
      </c>
      <c r="J720" t="s">
        <v>46</v>
      </c>
      <c r="K720">
        <v>10</v>
      </c>
      <c r="L720">
        <v>17</v>
      </c>
      <c r="M720">
        <v>2028</v>
      </c>
      <c r="N720" t="s">
        <v>47</v>
      </c>
      <c r="O720" s="5">
        <f>DATE(Tabela1[[#This Row],[vigencia ano]],Tabela1[[#This Row],[vigencia mês]],Tabela1[[#This Row],[vigencia dia]])</f>
        <v>47248</v>
      </c>
    </row>
    <row r="721" spans="1:15" x14ac:dyDescent="0.25">
      <c r="A721" t="s">
        <v>41</v>
      </c>
      <c r="B721" t="s">
        <v>2906</v>
      </c>
      <c r="C721" s="1">
        <v>4020515000104</v>
      </c>
      <c r="D721" t="s">
        <v>2907</v>
      </c>
      <c r="E721" t="s">
        <v>2903</v>
      </c>
      <c r="F721" t="s">
        <v>4</v>
      </c>
      <c r="G721">
        <v>6529017</v>
      </c>
      <c r="H721" t="s">
        <v>2908</v>
      </c>
      <c r="I721" t="s">
        <v>2909</v>
      </c>
      <c r="J721" t="s">
        <v>56</v>
      </c>
      <c r="K721">
        <v>10</v>
      </c>
      <c r="L721">
        <v>22</v>
      </c>
      <c r="M721">
        <v>2025</v>
      </c>
      <c r="N721" t="s">
        <v>47</v>
      </c>
      <c r="O721" s="5">
        <f>DATE(Tabela1[[#This Row],[vigencia ano]],Tabela1[[#This Row],[vigencia mês]],Tabela1[[#This Row],[vigencia dia]])</f>
        <v>46305</v>
      </c>
    </row>
    <row r="722" spans="1:15" x14ac:dyDescent="0.25">
      <c r="A722" t="s">
        <v>41</v>
      </c>
      <c r="B722" t="s">
        <v>2910</v>
      </c>
      <c r="C722" s="1">
        <v>3496334000196</v>
      </c>
      <c r="D722" t="s">
        <v>2911</v>
      </c>
      <c r="E722" t="s">
        <v>2903</v>
      </c>
      <c r="F722" t="s">
        <v>4</v>
      </c>
      <c r="G722">
        <v>6513100</v>
      </c>
      <c r="H722" t="s">
        <v>2912</v>
      </c>
      <c r="I722" t="s">
        <v>2913</v>
      </c>
      <c r="J722" t="s">
        <v>56</v>
      </c>
      <c r="K722">
        <v>6</v>
      </c>
      <c r="L722">
        <v>24</v>
      </c>
      <c r="M722">
        <v>2036</v>
      </c>
      <c r="N722" t="s">
        <v>2914</v>
      </c>
      <c r="O722" s="5">
        <f>DATE(Tabela1[[#This Row],[vigencia ano]],Tabela1[[#This Row],[vigencia mês]],Tabela1[[#This Row],[vigencia dia]])</f>
        <v>50380</v>
      </c>
    </row>
    <row r="723" spans="1:15" x14ac:dyDescent="0.25">
      <c r="A723" t="s">
        <v>41</v>
      </c>
      <c r="B723" t="s">
        <v>2910</v>
      </c>
      <c r="C723" s="1">
        <v>3496334000196</v>
      </c>
      <c r="D723" t="s">
        <v>2911</v>
      </c>
      <c r="E723" t="s">
        <v>2903</v>
      </c>
      <c r="F723" t="s">
        <v>4</v>
      </c>
      <c r="G723">
        <v>6513100</v>
      </c>
      <c r="H723" t="s">
        <v>2405</v>
      </c>
      <c r="I723" t="s">
        <v>2913</v>
      </c>
      <c r="J723" t="s">
        <v>56</v>
      </c>
      <c r="K723">
        <v>6</v>
      </c>
      <c r="L723">
        <v>24</v>
      </c>
      <c r="M723">
        <v>2036</v>
      </c>
      <c r="N723" t="s">
        <v>2914</v>
      </c>
      <c r="O723" s="5">
        <f>DATE(Tabela1[[#This Row],[vigencia ano]],Tabela1[[#This Row],[vigencia mês]],Tabela1[[#This Row],[vigencia dia]])</f>
        <v>50380</v>
      </c>
    </row>
    <row r="724" spans="1:15" x14ac:dyDescent="0.25">
      <c r="A724" t="s">
        <v>41</v>
      </c>
      <c r="B724" t="s">
        <v>2915</v>
      </c>
      <c r="C724" s="1">
        <v>4184178000190</v>
      </c>
      <c r="D724" t="s">
        <v>2916</v>
      </c>
      <c r="E724" t="s">
        <v>2903</v>
      </c>
      <c r="F724" t="s">
        <v>4</v>
      </c>
      <c r="G724">
        <v>6513100</v>
      </c>
      <c r="H724" t="s">
        <v>2405</v>
      </c>
      <c r="I724" t="s">
        <v>2917</v>
      </c>
      <c r="J724" t="s">
        <v>56</v>
      </c>
      <c r="K724">
        <v>6</v>
      </c>
      <c r="L724">
        <v>1</v>
      </c>
      <c r="M724">
        <v>2036</v>
      </c>
      <c r="N724" t="s">
        <v>2918</v>
      </c>
      <c r="O724" s="5">
        <f>DATE(Tabela1[[#This Row],[vigencia ano]],Tabela1[[#This Row],[vigencia mês]],Tabela1[[#This Row],[vigencia dia]])</f>
        <v>49680</v>
      </c>
    </row>
    <row r="725" spans="1:15" x14ac:dyDescent="0.25">
      <c r="A725" t="s">
        <v>41</v>
      </c>
      <c r="B725" t="s">
        <v>2919</v>
      </c>
      <c r="C725" s="1">
        <v>2376381000133</v>
      </c>
      <c r="D725" t="s">
        <v>2920</v>
      </c>
      <c r="E725" t="s">
        <v>2921</v>
      </c>
      <c r="F725" t="s">
        <v>4</v>
      </c>
      <c r="G725">
        <v>9071310</v>
      </c>
      <c r="H725" t="s">
        <v>2922</v>
      </c>
      <c r="I725" t="s">
        <v>2923</v>
      </c>
      <c r="J725" t="s">
        <v>56</v>
      </c>
      <c r="K725">
        <v>11</v>
      </c>
      <c r="L725">
        <v>6</v>
      </c>
      <c r="M725">
        <v>2027</v>
      </c>
      <c r="N725" t="s">
        <v>47</v>
      </c>
      <c r="O725" s="5">
        <f>DATE(Tabela1[[#This Row],[vigencia ano]],Tabela1[[#This Row],[vigencia mês]],Tabela1[[#This Row],[vigencia dia]])</f>
        <v>46549</v>
      </c>
    </row>
    <row r="726" spans="1:15" x14ac:dyDescent="0.25">
      <c r="A726" t="s">
        <v>41</v>
      </c>
      <c r="B726" t="s">
        <v>2924</v>
      </c>
      <c r="C726" s="1">
        <v>28492253000149</v>
      </c>
      <c r="D726" t="s">
        <v>2925</v>
      </c>
      <c r="E726" t="s">
        <v>2926</v>
      </c>
      <c r="F726" t="s">
        <v>4</v>
      </c>
      <c r="G726">
        <v>11010040</v>
      </c>
      <c r="H726" t="s">
        <v>2927</v>
      </c>
      <c r="I726" t="s">
        <v>2928</v>
      </c>
      <c r="J726" t="s">
        <v>56</v>
      </c>
      <c r="K726">
        <v>11</v>
      </c>
      <c r="L726">
        <v>1</v>
      </c>
      <c r="M726">
        <v>2027</v>
      </c>
      <c r="N726" t="s">
        <v>47</v>
      </c>
      <c r="O726" s="5">
        <f>DATE(Tabela1[[#This Row],[vigencia ano]],Tabela1[[#This Row],[vigencia mês]],Tabela1[[#This Row],[vigencia dia]])</f>
        <v>46398</v>
      </c>
    </row>
    <row r="727" spans="1:15" x14ac:dyDescent="0.25">
      <c r="A727" t="s">
        <v>41</v>
      </c>
      <c r="B727" t="s">
        <v>2929</v>
      </c>
      <c r="C727" s="1">
        <v>8809288000151</v>
      </c>
      <c r="D727" t="s">
        <v>2930</v>
      </c>
      <c r="E727" t="s">
        <v>2926</v>
      </c>
      <c r="F727" t="s">
        <v>4</v>
      </c>
      <c r="G727">
        <v>11090000</v>
      </c>
      <c r="H727" t="s">
        <v>2931</v>
      </c>
      <c r="I727" t="s">
        <v>2932</v>
      </c>
      <c r="J727" t="s">
        <v>56</v>
      </c>
      <c r="K727">
        <v>5</v>
      </c>
      <c r="L727">
        <v>23</v>
      </c>
      <c r="M727">
        <v>2023</v>
      </c>
      <c r="N727" t="s">
        <v>47</v>
      </c>
      <c r="O727" s="5">
        <f>DATE(Tabela1[[#This Row],[vigencia ano]],Tabela1[[#This Row],[vigencia mês]],Tabela1[[#This Row],[vigencia dia]])</f>
        <v>45601</v>
      </c>
    </row>
    <row r="728" spans="1:15" x14ac:dyDescent="0.25">
      <c r="A728" t="s">
        <v>41</v>
      </c>
      <c r="B728" t="s">
        <v>2933</v>
      </c>
      <c r="C728" s="1">
        <v>19762315000102</v>
      </c>
      <c r="D728" t="s">
        <v>2934</v>
      </c>
      <c r="E728" t="s">
        <v>2926</v>
      </c>
      <c r="F728" t="s">
        <v>4</v>
      </c>
      <c r="G728">
        <v>11050031</v>
      </c>
      <c r="H728" t="s">
        <v>2935</v>
      </c>
      <c r="I728" t="s">
        <v>2936</v>
      </c>
      <c r="J728" t="s">
        <v>56</v>
      </c>
      <c r="K728">
        <v>7</v>
      </c>
      <c r="L728">
        <v>24</v>
      </c>
      <c r="M728">
        <v>2028</v>
      </c>
      <c r="N728" t="s">
        <v>47</v>
      </c>
      <c r="O728" s="5">
        <f>DATE(Tabela1[[#This Row],[vigencia ano]],Tabela1[[#This Row],[vigencia mês]],Tabela1[[#This Row],[vigencia dia]])</f>
        <v>47459</v>
      </c>
    </row>
    <row r="729" spans="1:15" x14ac:dyDescent="0.25">
      <c r="A729" t="s">
        <v>41</v>
      </c>
      <c r="B729" t="s">
        <v>2937</v>
      </c>
      <c r="C729" s="1">
        <v>5922371000144</v>
      </c>
      <c r="D729" t="s">
        <v>2938</v>
      </c>
      <c r="E729" t="s">
        <v>2926</v>
      </c>
      <c r="F729" t="s">
        <v>4</v>
      </c>
      <c r="G729">
        <v>11015030</v>
      </c>
      <c r="H729" t="s">
        <v>2939</v>
      </c>
      <c r="I729" t="s">
        <v>2940</v>
      </c>
      <c r="J729" t="s">
        <v>56</v>
      </c>
      <c r="K729">
        <v>5</v>
      </c>
      <c r="L729">
        <v>8</v>
      </c>
      <c r="M729">
        <v>2034</v>
      </c>
      <c r="N729" t="s">
        <v>47</v>
      </c>
      <c r="O729" s="5">
        <f>DATE(Tabela1[[#This Row],[vigencia ano]],Tabela1[[#This Row],[vigencia mês]],Tabela1[[#This Row],[vigencia dia]])</f>
        <v>49161</v>
      </c>
    </row>
    <row r="730" spans="1:15" x14ac:dyDescent="0.25">
      <c r="A730" t="s">
        <v>41</v>
      </c>
      <c r="B730" t="s">
        <v>2941</v>
      </c>
      <c r="C730" s="1">
        <v>11005471000109</v>
      </c>
      <c r="D730" t="s">
        <v>2942</v>
      </c>
      <c r="E730" t="s">
        <v>2926</v>
      </c>
      <c r="F730" t="s">
        <v>4</v>
      </c>
      <c r="G730">
        <v>11084440</v>
      </c>
      <c r="H730" t="s">
        <v>2943</v>
      </c>
      <c r="I730" t="s">
        <v>2944</v>
      </c>
      <c r="J730" t="s">
        <v>56</v>
      </c>
      <c r="K730">
        <v>8</v>
      </c>
      <c r="L730">
        <v>31</v>
      </c>
      <c r="M730">
        <v>2022</v>
      </c>
      <c r="N730" t="s">
        <v>47</v>
      </c>
      <c r="O730" s="5">
        <f>DATE(Tabela1[[#This Row],[vigencia ano]],Tabela1[[#This Row],[vigencia mês]],Tabela1[[#This Row],[vigencia dia]])</f>
        <v>45481</v>
      </c>
    </row>
    <row r="731" spans="1:15" x14ac:dyDescent="0.25">
      <c r="A731" t="s">
        <v>41</v>
      </c>
      <c r="B731" t="s">
        <v>2945</v>
      </c>
      <c r="C731" s="1">
        <v>3598524000114</v>
      </c>
      <c r="D731" t="s">
        <v>2946</v>
      </c>
      <c r="E731" t="s">
        <v>2926</v>
      </c>
      <c r="F731" t="s">
        <v>4</v>
      </c>
      <c r="G731">
        <v>11060000</v>
      </c>
      <c r="H731" t="s">
        <v>2947</v>
      </c>
      <c r="I731" t="s">
        <v>2948</v>
      </c>
      <c r="J731" t="s">
        <v>46</v>
      </c>
      <c r="K731">
        <v>12</v>
      </c>
      <c r="L731">
        <v>10</v>
      </c>
      <c r="M731">
        <v>2026</v>
      </c>
      <c r="N731" t="s">
        <v>47</v>
      </c>
      <c r="O731" s="5">
        <f>DATE(Tabela1[[#This Row],[vigencia ano]],Tabela1[[#This Row],[vigencia mês]],Tabela1[[#This Row],[vigencia dia]])</f>
        <v>46307</v>
      </c>
    </row>
    <row r="732" spans="1:15" x14ac:dyDescent="0.25">
      <c r="A732" t="s">
        <v>41</v>
      </c>
      <c r="B732" t="s">
        <v>2945</v>
      </c>
      <c r="C732" s="1">
        <v>3598524000114</v>
      </c>
      <c r="D732" t="s">
        <v>2946</v>
      </c>
      <c r="E732" t="s">
        <v>2926</v>
      </c>
      <c r="F732" t="s">
        <v>4</v>
      </c>
      <c r="G732">
        <v>11060000</v>
      </c>
      <c r="H732" t="s">
        <v>2949</v>
      </c>
      <c r="I732" t="s">
        <v>2948</v>
      </c>
      <c r="J732" t="s">
        <v>46</v>
      </c>
      <c r="K732">
        <v>12</v>
      </c>
      <c r="L732">
        <v>10</v>
      </c>
      <c r="M732">
        <v>2026</v>
      </c>
      <c r="N732" t="s">
        <v>47</v>
      </c>
      <c r="O732" s="5">
        <f>DATE(Tabela1[[#This Row],[vigencia ano]],Tabela1[[#This Row],[vigencia mês]],Tabela1[[#This Row],[vigencia dia]])</f>
        <v>46307</v>
      </c>
    </row>
    <row r="733" spans="1:15" x14ac:dyDescent="0.25">
      <c r="A733" t="s">
        <v>41</v>
      </c>
      <c r="B733" t="s">
        <v>2950</v>
      </c>
      <c r="C733" s="1">
        <v>1341776000308</v>
      </c>
      <c r="D733" t="s">
        <v>2951</v>
      </c>
      <c r="E733" t="s">
        <v>2926</v>
      </c>
      <c r="F733" t="s">
        <v>4</v>
      </c>
      <c r="G733">
        <v>11035260</v>
      </c>
      <c r="H733" t="s">
        <v>2952</v>
      </c>
      <c r="I733" t="s">
        <v>2953</v>
      </c>
      <c r="J733" t="s">
        <v>46</v>
      </c>
      <c r="K733">
        <v>3</v>
      </c>
      <c r="L733">
        <v>31</v>
      </c>
      <c r="M733">
        <v>2036</v>
      </c>
      <c r="N733" t="s">
        <v>2954</v>
      </c>
      <c r="O733" s="5">
        <f>DATE(Tabela1[[#This Row],[vigencia ano]],Tabela1[[#This Row],[vigencia mês]],Tabela1[[#This Row],[vigencia dia]])</f>
        <v>50589</v>
      </c>
    </row>
    <row r="734" spans="1:15" x14ac:dyDescent="0.25">
      <c r="A734" t="s">
        <v>41</v>
      </c>
      <c r="B734" t="s">
        <v>2955</v>
      </c>
      <c r="C734" s="1">
        <v>8680888000162</v>
      </c>
      <c r="D734" t="s">
        <v>2956</v>
      </c>
      <c r="E734" t="s">
        <v>2926</v>
      </c>
      <c r="F734" t="s">
        <v>4</v>
      </c>
      <c r="G734">
        <v>11060917</v>
      </c>
      <c r="H734" t="s">
        <v>2957</v>
      </c>
      <c r="I734" t="s">
        <v>2958</v>
      </c>
      <c r="J734" t="s">
        <v>46</v>
      </c>
      <c r="K734">
        <v>7</v>
      </c>
      <c r="L734">
        <v>14</v>
      </c>
      <c r="M734">
        <v>2027</v>
      </c>
      <c r="N734" t="s">
        <v>47</v>
      </c>
      <c r="O734" s="5">
        <f>DATE(Tabela1[[#This Row],[vigencia ano]],Tabela1[[#This Row],[vigencia mês]],Tabela1[[#This Row],[vigencia dia]])</f>
        <v>46790</v>
      </c>
    </row>
    <row r="735" spans="1:15" x14ac:dyDescent="0.25">
      <c r="A735" t="s">
        <v>2959</v>
      </c>
      <c r="B735" t="s">
        <v>2960</v>
      </c>
      <c r="C735" s="1">
        <v>40410</v>
      </c>
      <c r="D735" t="s">
        <v>2961</v>
      </c>
      <c r="E735" t="s">
        <v>2926</v>
      </c>
      <c r="F735" t="s">
        <v>4</v>
      </c>
      <c r="G735">
        <v>11060917</v>
      </c>
      <c r="H735" t="s">
        <v>2962</v>
      </c>
      <c r="I735" t="s">
        <v>2963</v>
      </c>
      <c r="J735" t="s">
        <v>56</v>
      </c>
      <c r="K735">
        <v>4</v>
      </c>
      <c r="L735">
        <v>17</v>
      </c>
      <c r="M735">
        <v>2030</v>
      </c>
      <c r="N735" t="s">
        <v>47</v>
      </c>
      <c r="O735" s="5">
        <f>DATE(Tabela1[[#This Row],[vigencia ano]],Tabela1[[#This Row],[vigencia mês]],Tabela1[[#This Row],[vigencia dia]])</f>
        <v>47972</v>
      </c>
    </row>
    <row r="736" spans="1:15" x14ac:dyDescent="0.25">
      <c r="A736" t="s">
        <v>41</v>
      </c>
      <c r="B736" t="s">
        <v>2964</v>
      </c>
      <c r="C736" s="1">
        <v>2378779000109</v>
      </c>
      <c r="D736" t="s">
        <v>2965</v>
      </c>
      <c r="E736" t="s">
        <v>2926</v>
      </c>
      <c r="F736" t="s">
        <v>4</v>
      </c>
      <c r="G736">
        <v>11060917</v>
      </c>
      <c r="H736" t="s">
        <v>2966</v>
      </c>
      <c r="I736" t="s">
        <v>2967</v>
      </c>
      <c r="J736" t="s">
        <v>46</v>
      </c>
      <c r="K736">
        <v>5</v>
      </c>
      <c r="L736">
        <v>5</v>
      </c>
      <c r="M736">
        <v>2036</v>
      </c>
      <c r="N736" t="s">
        <v>2968</v>
      </c>
      <c r="O736" s="5">
        <f>DATE(Tabela1[[#This Row],[vigencia ano]],Tabela1[[#This Row],[vigencia mês]],Tabela1[[#This Row],[vigencia dia]])</f>
        <v>49800</v>
      </c>
    </row>
    <row r="737" spans="1:15" x14ac:dyDescent="0.25">
      <c r="A737" t="s">
        <v>41</v>
      </c>
      <c r="B737" t="s">
        <v>2964</v>
      </c>
      <c r="C737" s="1">
        <v>2378779000109</v>
      </c>
      <c r="D737" t="s">
        <v>2965</v>
      </c>
      <c r="E737" t="s">
        <v>2926</v>
      </c>
      <c r="F737" t="s">
        <v>4</v>
      </c>
      <c r="G737">
        <v>11060917</v>
      </c>
      <c r="H737" t="s">
        <v>2969</v>
      </c>
      <c r="I737" t="s">
        <v>2967</v>
      </c>
      <c r="J737" t="s">
        <v>46</v>
      </c>
      <c r="K737">
        <v>5</v>
      </c>
      <c r="L737">
        <v>5</v>
      </c>
      <c r="M737">
        <v>2036</v>
      </c>
      <c r="N737" t="s">
        <v>2968</v>
      </c>
      <c r="O737" s="5">
        <f>DATE(Tabela1[[#This Row],[vigencia ano]],Tabela1[[#This Row],[vigencia mês]],Tabela1[[#This Row],[vigencia dia]])</f>
        <v>49800</v>
      </c>
    </row>
    <row r="738" spans="1:15" x14ac:dyDescent="0.25">
      <c r="A738" t="s">
        <v>41</v>
      </c>
      <c r="B738" t="s">
        <v>2970</v>
      </c>
      <c r="C738" s="1">
        <v>13591547000150</v>
      </c>
      <c r="D738" t="s">
        <v>2971</v>
      </c>
      <c r="E738" t="s">
        <v>2926</v>
      </c>
      <c r="F738" t="s">
        <v>4</v>
      </c>
      <c r="G738">
        <v>11015504</v>
      </c>
      <c r="H738" t="s">
        <v>2972</v>
      </c>
      <c r="I738" t="s">
        <v>2973</v>
      </c>
      <c r="J738" t="s">
        <v>56</v>
      </c>
      <c r="K738">
        <v>5</v>
      </c>
      <c r="L738">
        <v>13</v>
      </c>
      <c r="M738">
        <v>2032</v>
      </c>
      <c r="N738" t="s">
        <v>47</v>
      </c>
      <c r="O738" s="5">
        <f>DATE(Tabela1[[#This Row],[vigencia ano]],Tabela1[[#This Row],[vigencia mês]],Tabela1[[#This Row],[vigencia dia]])</f>
        <v>48584</v>
      </c>
    </row>
    <row r="739" spans="1:15" x14ac:dyDescent="0.25">
      <c r="A739" t="s">
        <v>41</v>
      </c>
      <c r="B739" t="s">
        <v>2974</v>
      </c>
      <c r="C739" s="1">
        <v>2134994000164</v>
      </c>
      <c r="D739" t="s">
        <v>2975</v>
      </c>
      <c r="E739" t="s">
        <v>2926</v>
      </c>
      <c r="F739" t="s">
        <v>4</v>
      </c>
      <c r="G739">
        <v>11020010</v>
      </c>
      <c r="H739" t="s">
        <v>2976</v>
      </c>
      <c r="I739" t="s">
        <v>2977</v>
      </c>
      <c r="J739" t="s">
        <v>56</v>
      </c>
      <c r="K739">
        <v>6</v>
      </c>
      <c r="L739">
        <v>22</v>
      </c>
      <c r="M739">
        <v>2015</v>
      </c>
      <c r="N739" t="s">
        <v>47</v>
      </c>
      <c r="O739" s="5">
        <f>DATE(Tabela1[[#This Row],[vigencia ano]],Tabela1[[#This Row],[vigencia mês]],Tabela1[[#This Row],[vigencia dia]])</f>
        <v>42649</v>
      </c>
    </row>
    <row r="740" spans="1:15" x14ac:dyDescent="0.25">
      <c r="A740" t="s">
        <v>41</v>
      </c>
      <c r="B740" t="s">
        <v>2978</v>
      </c>
      <c r="C740" s="1">
        <v>42749306000195</v>
      </c>
      <c r="D740" t="s">
        <v>2979</v>
      </c>
      <c r="E740" t="s">
        <v>2926</v>
      </c>
      <c r="F740" t="s">
        <v>4</v>
      </c>
      <c r="G740">
        <v>11013030</v>
      </c>
      <c r="H740" t="s">
        <v>2176</v>
      </c>
      <c r="I740" t="s">
        <v>2980</v>
      </c>
      <c r="J740" t="s">
        <v>56</v>
      </c>
      <c r="K740">
        <v>8</v>
      </c>
      <c r="L740">
        <v>14</v>
      </c>
      <c r="M740">
        <v>2033</v>
      </c>
      <c r="N740" t="s">
        <v>47</v>
      </c>
      <c r="O740" s="5">
        <f>DATE(Tabela1[[#This Row],[vigencia ano]],Tabela1[[#This Row],[vigencia mês]],Tabela1[[#This Row],[vigencia dia]])</f>
        <v>48983</v>
      </c>
    </row>
    <row r="741" spans="1:15" x14ac:dyDescent="0.25">
      <c r="A741" t="s">
        <v>41</v>
      </c>
      <c r="B741" t="s">
        <v>2981</v>
      </c>
      <c r="C741" s="1">
        <v>4190683000148</v>
      </c>
      <c r="D741" t="s">
        <v>2982</v>
      </c>
      <c r="E741" t="s">
        <v>2926</v>
      </c>
      <c r="F741" t="s">
        <v>4</v>
      </c>
      <c r="G741">
        <v>11013170</v>
      </c>
      <c r="H741" t="s">
        <v>2983</v>
      </c>
      <c r="I741" t="s">
        <v>2984</v>
      </c>
      <c r="J741" t="s">
        <v>56</v>
      </c>
      <c r="K741">
        <v>8</v>
      </c>
      <c r="L741">
        <v>17</v>
      </c>
      <c r="M741">
        <v>2015</v>
      </c>
      <c r="N741" t="s">
        <v>47</v>
      </c>
      <c r="O741" s="5">
        <f>DATE(Tabela1[[#This Row],[vigencia ano]],Tabela1[[#This Row],[vigencia mês]],Tabela1[[#This Row],[vigencia dia]])</f>
        <v>42498</v>
      </c>
    </row>
    <row r="742" spans="1:15" x14ac:dyDescent="0.25">
      <c r="A742" t="s">
        <v>41</v>
      </c>
      <c r="B742" t="s">
        <v>2985</v>
      </c>
      <c r="C742" s="1">
        <v>45522553000142</v>
      </c>
      <c r="D742" t="s">
        <v>2986</v>
      </c>
      <c r="E742" t="s">
        <v>2926</v>
      </c>
      <c r="F742" t="s">
        <v>4</v>
      </c>
      <c r="G742">
        <v>11010240</v>
      </c>
      <c r="H742" t="s">
        <v>2987</v>
      </c>
      <c r="I742" t="s">
        <v>2988</v>
      </c>
      <c r="J742" t="s">
        <v>56</v>
      </c>
      <c r="K742">
        <v>5</v>
      </c>
      <c r="L742">
        <v>5</v>
      </c>
      <c r="M742">
        <v>2033</v>
      </c>
      <c r="N742" t="s">
        <v>47</v>
      </c>
      <c r="O742" s="5">
        <f>DATE(Tabela1[[#This Row],[vigencia ano]],Tabela1[[#This Row],[vigencia mês]],Tabela1[[#This Row],[vigencia dia]])</f>
        <v>48704</v>
      </c>
    </row>
    <row r="743" spans="1:15" x14ac:dyDescent="0.25">
      <c r="A743" t="s">
        <v>41</v>
      </c>
      <c r="B743" t="s">
        <v>2989</v>
      </c>
      <c r="C743" s="1">
        <v>1543841000108</v>
      </c>
      <c r="D743" t="s">
        <v>2990</v>
      </c>
      <c r="E743" t="s">
        <v>2926</v>
      </c>
      <c r="F743" t="s">
        <v>4</v>
      </c>
      <c r="G743">
        <v>11013150</v>
      </c>
      <c r="H743" t="s">
        <v>2991</v>
      </c>
      <c r="I743" t="s">
        <v>2992</v>
      </c>
      <c r="J743" t="s">
        <v>56</v>
      </c>
      <c r="K743">
        <v>10</v>
      </c>
      <c r="L743">
        <v>8</v>
      </c>
      <c r="M743">
        <v>2022</v>
      </c>
      <c r="N743" t="s">
        <v>47</v>
      </c>
      <c r="O743" s="5">
        <f>DATE(Tabela1[[#This Row],[vigencia ano]],Tabela1[[#This Row],[vigencia mês]],Tabela1[[#This Row],[vigencia dia]])</f>
        <v>44783</v>
      </c>
    </row>
    <row r="744" spans="1:15" x14ac:dyDescent="0.25">
      <c r="A744" t="s">
        <v>41</v>
      </c>
      <c r="B744" t="s">
        <v>2993</v>
      </c>
      <c r="C744" s="1">
        <v>13692098000137</v>
      </c>
      <c r="D744" t="s">
        <v>2994</v>
      </c>
      <c r="E744" t="s">
        <v>2926</v>
      </c>
      <c r="F744" t="s">
        <v>4</v>
      </c>
      <c r="G744">
        <v>11010911</v>
      </c>
      <c r="H744" t="s">
        <v>2176</v>
      </c>
      <c r="I744" t="s">
        <v>2995</v>
      </c>
      <c r="J744" t="s">
        <v>56</v>
      </c>
      <c r="K744">
        <v>12</v>
      </c>
      <c r="L744">
        <v>8</v>
      </c>
      <c r="M744">
        <v>2031</v>
      </c>
      <c r="N744" t="s">
        <v>47</v>
      </c>
      <c r="O744" s="5">
        <f>DATE(Tabela1[[#This Row],[vigencia ano]],Tabela1[[#This Row],[vigencia mês]],Tabela1[[#This Row],[vigencia dia]])</f>
        <v>48072</v>
      </c>
    </row>
    <row r="745" spans="1:15" x14ac:dyDescent="0.25">
      <c r="A745" t="s">
        <v>41</v>
      </c>
      <c r="B745" t="s">
        <v>2996</v>
      </c>
      <c r="C745" s="1">
        <v>23323690000115</v>
      </c>
      <c r="D745" t="s">
        <v>2997</v>
      </c>
      <c r="E745" t="s">
        <v>2926</v>
      </c>
      <c r="F745" t="s">
        <v>4</v>
      </c>
      <c r="G745">
        <v>11090050</v>
      </c>
      <c r="H745" t="s">
        <v>2998</v>
      </c>
      <c r="I745" t="s">
        <v>2999</v>
      </c>
      <c r="J745" t="s">
        <v>56</v>
      </c>
      <c r="K745">
        <v>8</v>
      </c>
      <c r="L745">
        <v>22</v>
      </c>
      <c r="M745">
        <v>2027</v>
      </c>
      <c r="N745" t="s">
        <v>47</v>
      </c>
      <c r="O745" s="5">
        <f>DATE(Tabela1[[#This Row],[vigencia ano]],Tabela1[[#This Row],[vigencia mês]],Tabela1[[#This Row],[vigencia dia]])</f>
        <v>47034</v>
      </c>
    </row>
    <row r="746" spans="1:15" x14ac:dyDescent="0.25">
      <c r="A746" t="s">
        <v>41</v>
      </c>
      <c r="B746" t="s">
        <v>3000</v>
      </c>
      <c r="C746" s="1">
        <v>64158165000179</v>
      </c>
      <c r="D746" t="s">
        <v>3001</v>
      </c>
      <c r="E746" t="s">
        <v>2926</v>
      </c>
      <c r="F746" t="s">
        <v>4</v>
      </c>
      <c r="G746">
        <v>11013161</v>
      </c>
      <c r="H746" t="s">
        <v>3002</v>
      </c>
      <c r="I746" t="s">
        <v>3003</v>
      </c>
      <c r="J746" t="s">
        <v>56</v>
      </c>
      <c r="K746">
        <v>8</v>
      </c>
      <c r="L746">
        <v>18</v>
      </c>
      <c r="M746">
        <v>2015</v>
      </c>
      <c r="N746" t="s">
        <v>47</v>
      </c>
      <c r="O746" s="5">
        <f>DATE(Tabela1[[#This Row],[vigencia ano]],Tabela1[[#This Row],[vigencia mês]],Tabela1[[#This Row],[vigencia dia]])</f>
        <v>42529</v>
      </c>
    </row>
    <row r="747" spans="1:15" x14ac:dyDescent="0.25">
      <c r="A747" t="s">
        <v>41</v>
      </c>
      <c r="B747" t="s">
        <v>3004</v>
      </c>
      <c r="C747" s="1">
        <v>16692091000103</v>
      </c>
      <c r="D747" t="s">
        <v>3005</v>
      </c>
      <c r="E747" t="s">
        <v>2926</v>
      </c>
      <c r="F747" t="s">
        <v>4</v>
      </c>
      <c r="G747">
        <v>11035260</v>
      </c>
      <c r="H747" t="s">
        <v>3006</v>
      </c>
      <c r="I747" t="s">
        <v>3007</v>
      </c>
      <c r="J747" t="s">
        <v>56</v>
      </c>
      <c r="K747">
        <v>10</v>
      </c>
      <c r="L747">
        <v>17</v>
      </c>
      <c r="M747">
        <v>2032</v>
      </c>
      <c r="N747" t="s">
        <v>47</v>
      </c>
      <c r="O747" s="5">
        <f>DATE(Tabela1[[#This Row],[vigencia ano]],Tabela1[[#This Row],[vigencia mês]],Tabela1[[#This Row],[vigencia dia]])</f>
        <v>48709</v>
      </c>
    </row>
    <row r="748" spans="1:15" x14ac:dyDescent="0.25">
      <c r="A748" t="s">
        <v>41</v>
      </c>
      <c r="B748" t="s">
        <v>3008</v>
      </c>
      <c r="C748" s="1">
        <v>68981398000128</v>
      </c>
      <c r="D748" t="s">
        <v>3009</v>
      </c>
      <c r="E748" t="s">
        <v>2926</v>
      </c>
      <c r="F748" t="s">
        <v>4</v>
      </c>
      <c r="G748">
        <v>11010000</v>
      </c>
      <c r="H748" t="s">
        <v>3010</v>
      </c>
      <c r="I748" t="s">
        <v>3011</v>
      </c>
      <c r="J748" t="s">
        <v>56</v>
      </c>
      <c r="K748">
        <v>12</v>
      </c>
      <c r="L748">
        <v>28</v>
      </c>
      <c r="M748">
        <v>2015</v>
      </c>
      <c r="N748" t="s">
        <v>47</v>
      </c>
      <c r="O748" s="5">
        <f>DATE(Tabela1[[#This Row],[vigencia ano]],Tabela1[[#This Row],[vigencia mês]],Tabela1[[#This Row],[vigencia dia]])</f>
        <v>42837</v>
      </c>
    </row>
    <row r="749" spans="1:15" x14ac:dyDescent="0.25">
      <c r="A749" t="s">
        <v>41</v>
      </c>
      <c r="B749" t="s">
        <v>3012</v>
      </c>
      <c r="C749" s="1">
        <v>49192362000110</v>
      </c>
      <c r="D749" t="s">
        <v>3013</v>
      </c>
      <c r="E749" t="s">
        <v>2926</v>
      </c>
      <c r="F749" t="s">
        <v>4</v>
      </c>
      <c r="G749">
        <v>11095520</v>
      </c>
      <c r="H749" t="s">
        <v>3014</v>
      </c>
      <c r="I749" t="s">
        <v>3015</v>
      </c>
      <c r="J749" t="s">
        <v>46</v>
      </c>
      <c r="K749">
        <v>1</v>
      </c>
      <c r="L749">
        <v>26</v>
      </c>
      <c r="M749">
        <v>2027</v>
      </c>
      <c r="N749" t="s">
        <v>47</v>
      </c>
      <c r="O749" s="5">
        <f>DATE(Tabela1[[#This Row],[vigencia ano]],Tabela1[[#This Row],[vigencia mês]],Tabela1[[#This Row],[vigencia dia]])</f>
        <v>47150</v>
      </c>
    </row>
    <row r="750" spans="1:15" x14ac:dyDescent="0.25">
      <c r="A750" t="s">
        <v>41</v>
      </c>
      <c r="B750" t="s">
        <v>3016</v>
      </c>
      <c r="C750" s="1">
        <v>257058000115</v>
      </c>
      <c r="D750" t="s">
        <v>3017</v>
      </c>
      <c r="E750" t="s">
        <v>2926</v>
      </c>
      <c r="F750" t="s">
        <v>4</v>
      </c>
      <c r="G750">
        <v>11010151</v>
      </c>
      <c r="H750" t="s">
        <v>3018</v>
      </c>
      <c r="I750" t="s">
        <v>3019</v>
      </c>
      <c r="J750" t="s">
        <v>56</v>
      </c>
      <c r="K750">
        <v>8</v>
      </c>
      <c r="L750">
        <v>3</v>
      </c>
      <c r="M750">
        <v>2017</v>
      </c>
      <c r="N750" t="s">
        <v>47</v>
      </c>
      <c r="O750" s="5">
        <f>DATE(Tabela1[[#This Row],[vigencia ano]],Tabela1[[#This Row],[vigencia mês]],Tabela1[[#This Row],[vigencia dia]])</f>
        <v>42802</v>
      </c>
    </row>
    <row r="751" spans="1:15" x14ac:dyDescent="0.25">
      <c r="A751" t="s">
        <v>41</v>
      </c>
      <c r="B751" t="s">
        <v>3020</v>
      </c>
      <c r="C751" s="1">
        <v>45557022000195</v>
      </c>
      <c r="D751" t="s">
        <v>3021</v>
      </c>
      <c r="E751" t="s">
        <v>2926</v>
      </c>
      <c r="F751" t="s">
        <v>4</v>
      </c>
      <c r="G751">
        <v>11065908</v>
      </c>
      <c r="H751" t="s">
        <v>3022</v>
      </c>
      <c r="I751" t="s">
        <v>3023</v>
      </c>
      <c r="J751" t="s">
        <v>56</v>
      </c>
      <c r="K751">
        <v>1</v>
      </c>
      <c r="L751">
        <v>19</v>
      </c>
      <c r="M751">
        <v>2033</v>
      </c>
      <c r="N751" t="s">
        <v>47</v>
      </c>
      <c r="O751" s="5">
        <f>DATE(Tabela1[[#This Row],[vigencia ano]],Tabela1[[#This Row],[vigencia mês]],Tabela1[[#This Row],[vigencia dia]])</f>
        <v>49126</v>
      </c>
    </row>
    <row r="752" spans="1:15" x14ac:dyDescent="0.25">
      <c r="A752" t="s">
        <v>41</v>
      </c>
      <c r="B752" t="s">
        <v>3024</v>
      </c>
      <c r="C752" s="1">
        <v>10520033000116</v>
      </c>
      <c r="D752" t="s">
        <v>3025</v>
      </c>
      <c r="E752" t="s">
        <v>2926</v>
      </c>
      <c r="F752" t="s">
        <v>4</v>
      </c>
      <c r="G752">
        <v>11010050</v>
      </c>
      <c r="H752" t="s">
        <v>3026</v>
      </c>
      <c r="I752" t="s">
        <v>3027</v>
      </c>
      <c r="J752" t="s">
        <v>56</v>
      </c>
      <c r="K752">
        <v>5</v>
      </c>
      <c r="L752">
        <v>10</v>
      </c>
      <c r="M752">
        <v>2020</v>
      </c>
      <c r="N752" t="s">
        <v>47</v>
      </c>
      <c r="O752" s="5">
        <f>DATE(Tabela1[[#This Row],[vigencia ano]],Tabela1[[#This Row],[vigencia mês]],Tabela1[[#This Row],[vigencia dia]])</f>
        <v>44109</v>
      </c>
    </row>
    <row r="753" spans="1:15" x14ac:dyDescent="0.25">
      <c r="A753" t="s">
        <v>41</v>
      </c>
      <c r="B753" t="s">
        <v>3028</v>
      </c>
      <c r="C753" s="1">
        <v>58180316000192</v>
      </c>
      <c r="D753" t="s">
        <v>3029</v>
      </c>
      <c r="E753" t="s">
        <v>2926</v>
      </c>
      <c r="F753" t="s">
        <v>4</v>
      </c>
      <c r="G753">
        <v>11095000</v>
      </c>
      <c r="H753" t="s">
        <v>3030</v>
      </c>
      <c r="I753" t="s">
        <v>3031</v>
      </c>
      <c r="J753" t="s">
        <v>46</v>
      </c>
      <c r="K753">
        <v>5</v>
      </c>
      <c r="L753">
        <v>14</v>
      </c>
      <c r="M753">
        <v>2025</v>
      </c>
      <c r="N753" t="s">
        <v>47</v>
      </c>
      <c r="O753" s="5">
        <f>DATE(Tabela1[[#This Row],[vigencia ano]],Tabela1[[#This Row],[vigencia mês]],Tabela1[[#This Row],[vigencia dia]])</f>
        <v>46058</v>
      </c>
    </row>
    <row r="754" spans="1:15" x14ac:dyDescent="0.25">
      <c r="A754" t="s">
        <v>41</v>
      </c>
      <c r="B754" t="s">
        <v>3032</v>
      </c>
      <c r="C754" s="1">
        <v>36628830000105</v>
      </c>
      <c r="D754" t="s">
        <v>3033</v>
      </c>
      <c r="E754" t="s">
        <v>2926</v>
      </c>
      <c r="F754" t="s">
        <v>4</v>
      </c>
      <c r="G754">
        <v>11025020</v>
      </c>
      <c r="H754" t="s">
        <v>3034</v>
      </c>
      <c r="I754" t="s">
        <v>3035</v>
      </c>
      <c r="J754" t="s">
        <v>56</v>
      </c>
      <c r="K754">
        <v>4</v>
      </c>
      <c r="L754">
        <v>6</v>
      </c>
      <c r="M754">
        <v>2031</v>
      </c>
      <c r="N754" t="s">
        <v>47</v>
      </c>
      <c r="O754" s="5">
        <f>DATE(Tabela1[[#This Row],[vigencia ano]],Tabela1[[#This Row],[vigencia mês]],Tabela1[[#This Row],[vigencia dia]])</f>
        <v>48003</v>
      </c>
    </row>
    <row r="755" spans="1:15" x14ac:dyDescent="0.25">
      <c r="A755" t="s">
        <v>41</v>
      </c>
      <c r="B755" t="s">
        <v>3036</v>
      </c>
      <c r="C755" s="1">
        <v>7056595000146</v>
      </c>
      <c r="D755" t="s">
        <v>3037</v>
      </c>
      <c r="E755" t="s">
        <v>2926</v>
      </c>
      <c r="F755" t="s">
        <v>4</v>
      </c>
      <c r="G755">
        <v>11010110</v>
      </c>
      <c r="H755" t="s">
        <v>3038</v>
      </c>
      <c r="I755" t="s">
        <v>3039</v>
      </c>
      <c r="J755" t="s">
        <v>56</v>
      </c>
      <c r="K755">
        <v>5</v>
      </c>
      <c r="L755">
        <v>30</v>
      </c>
      <c r="M755">
        <v>2017</v>
      </c>
      <c r="N755" t="s">
        <v>47</v>
      </c>
      <c r="O755" s="5">
        <f>DATE(Tabela1[[#This Row],[vigencia ano]],Tabela1[[#This Row],[vigencia mês]],Tabela1[[#This Row],[vigencia dia]])</f>
        <v>43621</v>
      </c>
    </row>
    <row r="756" spans="1:15" x14ac:dyDescent="0.25">
      <c r="A756" t="s">
        <v>41</v>
      </c>
      <c r="B756" t="s">
        <v>3040</v>
      </c>
      <c r="C756" s="1">
        <v>58149782000105</v>
      </c>
      <c r="D756" t="s">
        <v>3041</v>
      </c>
      <c r="E756" t="s">
        <v>2926</v>
      </c>
      <c r="F756" t="s">
        <v>4</v>
      </c>
      <c r="G756">
        <v>11010919</v>
      </c>
      <c r="H756" t="s">
        <v>3042</v>
      </c>
      <c r="I756" t="s">
        <v>3043</v>
      </c>
      <c r="J756" t="s">
        <v>46</v>
      </c>
      <c r="K756">
        <v>6</v>
      </c>
      <c r="L756">
        <v>7</v>
      </c>
      <c r="M756">
        <v>2015</v>
      </c>
      <c r="N756" t="s">
        <v>47</v>
      </c>
      <c r="O756" s="5">
        <f>DATE(Tabela1[[#This Row],[vigencia ano]],Tabela1[[#This Row],[vigencia mês]],Tabela1[[#This Row],[vigencia dia]])</f>
        <v>42191</v>
      </c>
    </row>
    <row r="757" spans="1:15" x14ac:dyDescent="0.25">
      <c r="A757" t="s">
        <v>41</v>
      </c>
      <c r="B757" t="s">
        <v>3044</v>
      </c>
      <c r="C757" s="1">
        <v>71550388000142</v>
      </c>
      <c r="D757" t="s">
        <v>3045</v>
      </c>
      <c r="E757" t="s">
        <v>2926</v>
      </c>
      <c r="F757" t="s">
        <v>4</v>
      </c>
      <c r="G757">
        <v>11013240</v>
      </c>
      <c r="H757" t="s">
        <v>3046</v>
      </c>
      <c r="I757" t="s">
        <v>3047</v>
      </c>
      <c r="J757" t="s">
        <v>56</v>
      </c>
      <c r="K757">
        <v>11</v>
      </c>
      <c r="L757">
        <v>12</v>
      </c>
      <c r="M757">
        <v>2017</v>
      </c>
      <c r="N757" t="s">
        <v>47</v>
      </c>
      <c r="O757" s="5">
        <f>DATE(Tabela1[[#This Row],[vigencia ano]],Tabela1[[#This Row],[vigencia mês]],Tabela1[[#This Row],[vigencia dia]])</f>
        <v>43080</v>
      </c>
    </row>
    <row r="758" spans="1:15" x14ac:dyDescent="0.25">
      <c r="A758" t="s">
        <v>41</v>
      </c>
      <c r="B758" t="s">
        <v>3048</v>
      </c>
      <c r="C758" s="1">
        <v>97359863000191</v>
      </c>
      <c r="D758" t="s">
        <v>3049</v>
      </c>
      <c r="E758" t="s">
        <v>2926</v>
      </c>
      <c r="F758" t="s">
        <v>4</v>
      </c>
      <c r="G758">
        <v>11020450</v>
      </c>
      <c r="H758" t="s">
        <v>3050</v>
      </c>
      <c r="I758" t="s">
        <v>3051</v>
      </c>
      <c r="J758" t="s">
        <v>56</v>
      </c>
      <c r="K758">
        <v>3</v>
      </c>
      <c r="L758">
        <v>24</v>
      </c>
      <c r="M758">
        <v>2019</v>
      </c>
      <c r="N758" t="s">
        <v>47</v>
      </c>
      <c r="O758" s="5">
        <f>DATE(Tabela1[[#This Row],[vigencia ano]],Tabela1[[#This Row],[vigencia mês]],Tabela1[[#This Row],[vigencia dia]])</f>
        <v>44168</v>
      </c>
    </row>
    <row r="759" spans="1:15" x14ac:dyDescent="0.25">
      <c r="A759" t="s">
        <v>41</v>
      </c>
      <c r="B759" t="s">
        <v>3048</v>
      </c>
      <c r="C759" s="1">
        <v>97359863000191</v>
      </c>
      <c r="D759" t="s">
        <v>3049</v>
      </c>
      <c r="E759" t="s">
        <v>2926</v>
      </c>
      <c r="F759" t="s">
        <v>4</v>
      </c>
      <c r="G759">
        <v>11020450</v>
      </c>
      <c r="H759" t="s">
        <v>3052</v>
      </c>
      <c r="I759" t="s">
        <v>3051</v>
      </c>
      <c r="J759" t="s">
        <v>56</v>
      </c>
      <c r="K759">
        <v>3</v>
      </c>
      <c r="L759">
        <v>24</v>
      </c>
      <c r="M759">
        <v>2019</v>
      </c>
      <c r="N759" t="s">
        <v>47</v>
      </c>
      <c r="O759" s="5">
        <f>DATE(Tabela1[[#This Row],[vigencia ano]],Tabela1[[#This Row],[vigencia mês]],Tabela1[[#This Row],[vigencia dia]])</f>
        <v>44168</v>
      </c>
    </row>
    <row r="760" spans="1:15" x14ac:dyDescent="0.25">
      <c r="A760" t="s">
        <v>41</v>
      </c>
      <c r="B760" t="s">
        <v>3048</v>
      </c>
      <c r="C760" s="1">
        <v>97359863000191</v>
      </c>
      <c r="D760" t="s">
        <v>3049</v>
      </c>
      <c r="E760" t="s">
        <v>2926</v>
      </c>
      <c r="F760" t="s">
        <v>4</v>
      </c>
      <c r="G760">
        <v>11020450</v>
      </c>
      <c r="H760" t="s">
        <v>3053</v>
      </c>
      <c r="I760" t="s">
        <v>3051</v>
      </c>
      <c r="J760" t="s">
        <v>56</v>
      </c>
      <c r="K760">
        <v>3</v>
      </c>
      <c r="L760">
        <v>24</v>
      </c>
      <c r="M760">
        <v>2019</v>
      </c>
      <c r="N760" t="s">
        <v>47</v>
      </c>
      <c r="O760" s="5">
        <f>DATE(Tabela1[[#This Row],[vigencia ano]],Tabela1[[#This Row],[vigencia mês]],Tabela1[[#This Row],[vigencia dia]])</f>
        <v>44168</v>
      </c>
    </row>
    <row r="761" spans="1:15" x14ac:dyDescent="0.25">
      <c r="A761" t="s">
        <v>41</v>
      </c>
      <c r="B761" t="s">
        <v>3054</v>
      </c>
      <c r="C761" s="1">
        <v>4171407000132</v>
      </c>
      <c r="D761" t="s">
        <v>3055</v>
      </c>
      <c r="E761" t="s">
        <v>2926</v>
      </c>
      <c r="F761" t="s">
        <v>4</v>
      </c>
      <c r="G761">
        <v>11013010</v>
      </c>
      <c r="H761" t="s">
        <v>3056</v>
      </c>
      <c r="I761" t="s">
        <v>3057</v>
      </c>
      <c r="J761" t="s">
        <v>56</v>
      </c>
      <c r="K761">
        <v>4</v>
      </c>
      <c r="L761">
        <v>15</v>
      </c>
      <c r="M761">
        <v>2034</v>
      </c>
      <c r="N761" t="s">
        <v>47</v>
      </c>
      <c r="O761" s="5">
        <f>DATE(Tabela1[[#This Row],[vigencia ano]],Tabela1[[#This Row],[vigencia mês]],Tabela1[[#This Row],[vigencia dia]])</f>
        <v>49372</v>
      </c>
    </row>
    <row r="762" spans="1:15" x14ac:dyDescent="0.25">
      <c r="A762" t="s">
        <v>41</v>
      </c>
      <c r="B762" t="s">
        <v>3058</v>
      </c>
      <c r="C762" s="1">
        <v>58130089000190</v>
      </c>
      <c r="D762" t="s">
        <v>3059</v>
      </c>
      <c r="E762" t="s">
        <v>2926</v>
      </c>
      <c r="F762" t="s">
        <v>4</v>
      </c>
      <c r="G762">
        <v>11013921</v>
      </c>
      <c r="H762" t="s">
        <v>3060</v>
      </c>
      <c r="I762" t="s">
        <v>3061</v>
      </c>
      <c r="J762" t="s">
        <v>46</v>
      </c>
      <c r="K762">
        <v>8</v>
      </c>
      <c r="L762">
        <v>17</v>
      </c>
      <c r="M762">
        <v>2015</v>
      </c>
      <c r="N762" t="s">
        <v>47</v>
      </c>
      <c r="O762" s="5">
        <f>DATE(Tabela1[[#This Row],[vigencia ano]],Tabela1[[#This Row],[vigencia mês]],Tabela1[[#This Row],[vigencia dia]])</f>
        <v>42498</v>
      </c>
    </row>
    <row r="763" spans="1:15" x14ac:dyDescent="0.25">
      <c r="A763" t="s">
        <v>41</v>
      </c>
      <c r="B763" t="s">
        <v>3062</v>
      </c>
      <c r="C763" s="1">
        <v>25205792000161</v>
      </c>
      <c r="D763" t="s">
        <v>3063</v>
      </c>
      <c r="E763" t="s">
        <v>2926</v>
      </c>
      <c r="F763" t="s">
        <v>4</v>
      </c>
      <c r="G763">
        <v>11015070</v>
      </c>
      <c r="H763" t="s">
        <v>3064</v>
      </c>
      <c r="I763" t="s">
        <v>3065</v>
      </c>
      <c r="J763" t="s">
        <v>56</v>
      </c>
      <c r="K763">
        <v>1</v>
      </c>
      <c r="L763">
        <v>13</v>
      </c>
      <c r="M763">
        <v>2031</v>
      </c>
      <c r="N763" t="s">
        <v>47</v>
      </c>
      <c r="O763" s="5">
        <f>DATE(Tabela1[[#This Row],[vigencia ano]],Tabela1[[#This Row],[vigencia mês]],Tabela1[[#This Row],[vigencia dia]])</f>
        <v>48214</v>
      </c>
    </row>
    <row r="764" spans="1:15" x14ac:dyDescent="0.25">
      <c r="A764" t="s">
        <v>41</v>
      </c>
      <c r="B764" t="s">
        <v>3066</v>
      </c>
      <c r="C764" s="1">
        <v>8218419000126</v>
      </c>
      <c r="D764" t="s">
        <v>3067</v>
      </c>
      <c r="E764" t="s">
        <v>2926</v>
      </c>
      <c r="F764" t="s">
        <v>4</v>
      </c>
      <c r="G764">
        <v>11013151</v>
      </c>
      <c r="H764" t="s">
        <v>3068</v>
      </c>
      <c r="I764" t="s">
        <v>3069</v>
      </c>
      <c r="J764" t="s">
        <v>56</v>
      </c>
      <c r="K764">
        <v>12</v>
      </c>
      <c r="L764">
        <v>11</v>
      </c>
      <c r="M764">
        <v>2023</v>
      </c>
      <c r="N764" t="s">
        <v>47</v>
      </c>
      <c r="O764" s="5">
        <f>DATE(Tabela1[[#This Row],[vigencia ano]],Tabela1[[#This Row],[vigencia mês]],Tabela1[[#This Row],[vigencia dia]])</f>
        <v>45242</v>
      </c>
    </row>
    <row r="765" spans="1:15" x14ac:dyDescent="0.25">
      <c r="A765" t="s">
        <v>41</v>
      </c>
      <c r="B765" t="s">
        <v>3070</v>
      </c>
      <c r="C765" s="1">
        <v>57737264000140</v>
      </c>
      <c r="D765" t="s">
        <v>3071</v>
      </c>
      <c r="E765" t="s">
        <v>2926</v>
      </c>
      <c r="F765" t="s">
        <v>4</v>
      </c>
      <c r="G765">
        <v>11085350</v>
      </c>
      <c r="H765" t="s">
        <v>3072</v>
      </c>
      <c r="I765" t="s">
        <v>3073</v>
      </c>
      <c r="J765" t="s">
        <v>56</v>
      </c>
      <c r="K765">
        <v>11</v>
      </c>
      <c r="L765">
        <v>5</v>
      </c>
      <c r="M765">
        <v>2023</v>
      </c>
      <c r="N765" t="s">
        <v>47</v>
      </c>
      <c r="O765" s="5">
        <f>DATE(Tabela1[[#This Row],[vigencia ano]],Tabela1[[#This Row],[vigencia mês]],Tabela1[[#This Row],[vigencia dia]])</f>
        <v>45057</v>
      </c>
    </row>
    <row r="766" spans="1:15" x14ac:dyDescent="0.25">
      <c r="A766" t="s">
        <v>41</v>
      </c>
      <c r="B766" t="s">
        <v>3074</v>
      </c>
      <c r="C766" s="1">
        <v>11316066000101</v>
      </c>
      <c r="D766" t="s">
        <v>3075</v>
      </c>
      <c r="E766" t="s">
        <v>2926</v>
      </c>
      <c r="F766" t="s">
        <v>4</v>
      </c>
      <c r="G766">
        <v>11013150</v>
      </c>
      <c r="H766" t="s">
        <v>2998</v>
      </c>
      <c r="I766" t="s">
        <v>3076</v>
      </c>
      <c r="J766" t="s">
        <v>56</v>
      </c>
      <c r="K766">
        <v>8</v>
      </c>
      <c r="L766">
        <v>22</v>
      </c>
      <c r="M766">
        <v>2027</v>
      </c>
      <c r="N766" t="s">
        <v>47</v>
      </c>
      <c r="O766" s="5">
        <f>DATE(Tabela1[[#This Row],[vigencia ano]],Tabela1[[#This Row],[vigencia mês]],Tabela1[[#This Row],[vigencia dia]])</f>
        <v>47034</v>
      </c>
    </row>
    <row r="767" spans="1:15" x14ac:dyDescent="0.25">
      <c r="A767" t="s">
        <v>41</v>
      </c>
      <c r="B767" t="s">
        <v>3077</v>
      </c>
      <c r="C767" s="1">
        <v>4757437000125</v>
      </c>
      <c r="D767" t="s">
        <v>3078</v>
      </c>
      <c r="E767" t="s">
        <v>2926</v>
      </c>
      <c r="F767" t="s">
        <v>4</v>
      </c>
      <c r="G767">
        <v>11013010</v>
      </c>
      <c r="H767" t="s">
        <v>3079</v>
      </c>
      <c r="I767" t="s">
        <v>3080</v>
      </c>
      <c r="J767" t="s">
        <v>56</v>
      </c>
      <c r="K767">
        <v>6</v>
      </c>
      <c r="L767">
        <v>22</v>
      </c>
      <c r="M767">
        <v>2015</v>
      </c>
      <c r="N767" t="s">
        <v>47</v>
      </c>
      <c r="O767" s="5">
        <f>DATE(Tabela1[[#This Row],[vigencia ano]],Tabela1[[#This Row],[vigencia mês]],Tabela1[[#This Row],[vigencia dia]])</f>
        <v>42649</v>
      </c>
    </row>
    <row r="768" spans="1:15" x14ac:dyDescent="0.25">
      <c r="A768" t="s">
        <v>41</v>
      </c>
      <c r="B768" t="s">
        <v>3081</v>
      </c>
      <c r="C768" s="1">
        <v>23830039000131</v>
      </c>
      <c r="D768" t="s">
        <v>3082</v>
      </c>
      <c r="E768" t="s">
        <v>2926</v>
      </c>
      <c r="F768" t="s">
        <v>4</v>
      </c>
      <c r="G768">
        <v>11010070</v>
      </c>
      <c r="H768" t="s">
        <v>3083</v>
      </c>
      <c r="I768" t="s">
        <v>3084</v>
      </c>
      <c r="J768" t="s">
        <v>56</v>
      </c>
      <c r="K768">
        <v>3</v>
      </c>
      <c r="L768">
        <v>17</v>
      </c>
      <c r="M768">
        <v>2030</v>
      </c>
      <c r="N768" t="s">
        <v>47</v>
      </c>
      <c r="O768" s="5">
        <f>DATE(Tabela1[[#This Row],[vigencia ano]],Tabela1[[#This Row],[vigencia mês]],Tabela1[[#This Row],[vigencia dia]])</f>
        <v>47971</v>
      </c>
    </row>
    <row r="769" spans="1:15" x14ac:dyDescent="0.25">
      <c r="A769" t="s">
        <v>41</v>
      </c>
      <c r="B769" t="s">
        <v>3085</v>
      </c>
      <c r="C769" s="1">
        <v>54834007000138</v>
      </c>
      <c r="D769" t="s">
        <v>3086</v>
      </c>
      <c r="E769" t="s">
        <v>2926</v>
      </c>
      <c r="F769" t="s">
        <v>4</v>
      </c>
      <c r="G769">
        <v>11095520</v>
      </c>
      <c r="H769" t="s">
        <v>3087</v>
      </c>
      <c r="I769" t="s">
        <v>3088</v>
      </c>
      <c r="J769" t="s">
        <v>56</v>
      </c>
      <c r="K769">
        <v>9</v>
      </c>
      <c r="L769">
        <v>1</v>
      </c>
      <c r="M769">
        <v>2035</v>
      </c>
      <c r="N769" t="s">
        <v>3089</v>
      </c>
      <c r="O769" s="5">
        <f>DATE(Tabela1[[#This Row],[vigencia ano]],Tabela1[[#This Row],[vigencia mês]],Tabela1[[#This Row],[vigencia dia]])</f>
        <v>49318</v>
      </c>
    </row>
    <row r="770" spans="1:15" x14ac:dyDescent="0.25">
      <c r="A770" t="s">
        <v>41</v>
      </c>
      <c r="B770" t="s">
        <v>3085</v>
      </c>
      <c r="C770" s="1">
        <v>54834007000138</v>
      </c>
      <c r="D770" t="s">
        <v>3086</v>
      </c>
      <c r="E770" t="s">
        <v>2926</v>
      </c>
      <c r="F770" t="s">
        <v>4</v>
      </c>
      <c r="G770">
        <v>11095520</v>
      </c>
      <c r="H770" t="s">
        <v>3090</v>
      </c>
      <c r="I770" t="s">
        <v>3088</v>
      </c>
      <c r="J770" t="s">
        <v>56</v>
      </c>
      <c r="K770">
        <v>9</v>
      </c>
      <c r="L770">
        <v>1</v>
      </c>
      <c r="M770">
        <v>2035</v>
      </c>
      <c r="N770" t="s">
        <v>3089</v>
      </c>
      <c r="O770" s="5">
        <f>DATE(Tabela1[[#This Row],[vigencia ano]],Tabela1[[#This Row],[vigencia mês]],Tabela1[[#This Row],[vigencia dia]])</f>
        <v>49318</v>
      </c>
    </row>
    <row r="771" spans="1:15" x14ac:dyDescent="0.25">
      <c r="A771" t="s">
        <v>41</v>
      </c>
      <c r="B771" t="s">
        <v>3091</v>
      </c>
      <c r="C771" s="1">
        <v>19356008000113</v>
      </c>
      <c r="D771" t="s">
        <v>3092</v>
      </c>
      <c r="E771" t="s">
        <v>2926</v>
      </c>
      <c r="F771" t="s">
        <v>4</v>
      </c>
      <c r="G771">
        <v>11010000</v>
      </c>
      <c r="H771" t="s">
        <v>3093</v>
      </c>
      <c r="I771" t="s">
        <v>3094</v>
      </c>
      <c r="J771" t="s">
        <v>56</v>
      </c>
      <c r="K771">
        <v>4</v>
      </c>
      <c r="L771">
        <v>11</v>
      </c>
      <c r="M771">
        <v>2028</v>
      </c>
      <c r="N771" t="s">
        <v>47</v>
      </c>
      <c r="O771" s="5">
        <f>DATE(Tabela1[[#This Row],[vigencia ano]],Tabela1[[#This Row],[vigencia mês]],Tabela1[[#This Row],[vigencia dia]])</f>
        <v>47061</v>
      </c>
    </row>
    <row r="772" spans="1:15" x14ac:dyDescent="0.25">
      <c r="A772" t="s">
        <v>41</v>
      </c>
      <c r="B772" t="s">
        <v>3095</v>
      </c>
      <c r="C772" s="1">
        <v>2805610000198</v>
      </c>
      <c r="D772" t="s">
        <v>3096</v>
      </c>
      <c r="E772" t="s">
        <v>2926</v>
      </c>
      <c r="F772" t="s">
        <v>4</v>
      </c>
      <c r="G772">
        <v>11013020</v>
      </c>
      <c r="H772" t="s">
        <v>3097</v>
      </c>
      <c r="I772" t="s">
        <v>3098</v>
      </c>
      <c r="J772" t="s">
        <v>46</v>
      </c>
      <c r="K772">
        <v>1</v>
      </c>
      <c r="L772">
        <v>22</v>
      </c>
      <c r="M772">
        <v>2026</v>
      </c>
      <c r="N772" t="s">
        <v>47</v>
      </c>
      <c r="O772" s="5">
        <f>DATE(Tabela1[[#This Row],[vigencia ano]],Tabela1[[#This Row],[vigencia mês]],Tabela1[[#This Row],[vigencia dia]])</f>
        <v>46661</v>
      </c>
    </row>
    <row r="773" spans="1:15" x14ac:dyDescent="0.25">
      <c r="A773" t="s">
        <v>41</v>
      </c>
      <c r="B773" t="s">
        <v>3099</v>
      </c>
      <c r="C773" s="1">
        <v>28037032000180</v>
      </c>
      <c r="D773" t="s">
        <v>3100</v>
      </c>
      <c r="E773" t="s">
        <v>2926</v>
      </c>
      <c r="F773" t="s">
        <v>4</v>
      </c>
      <c r="G773">
        <v>11010340</v>
      </c>
      <c r="H773" t="s">
        <v>3101</v>
      </c>
      <c r="I773" t="s">
        <v>3102</v>
      </c>
      <c r="J773" t="s">
        <v>56</v>
      </c>
      <c r="K773">
        <v>5</v>
      </c>
      <c r="L773">
        <v>27</v>
      </c>
      <c r="M773">
        <v>2034</v>
      </c>
      <c r="N773" t="s">
        <v>47</v>
      </c>
      <c r="O773" s="5">
        <f>DATE(Tabela1[[#This Row],[vigencia ano]],Tabela1[[#This Row],[vigencia mês]],Tabela1[[#This Row],[vigencia dia]])</f>
        <v>49739</v>
      </c>
    </row>
    <row r="774" spans="1:15" x14ac:dyDescent="0.25">
      <c r="A774" t="s">
        <v>41</v>
      </c>
      <c r="B774" t="s">
        <v>3103</v>
      </c>
      <c r="C774" s="1">
        <v>23896429000104</v>
      </c>
      <c r="D774" t="s">
        <v>3104</v>
      </c>
      <c r="E774" t="s">
        <v>2926</v>
      </c>
      <c r="F774" t="s">
        <v>4</v>
      </c>
      <c r="G774">
        <v>11060000</v>
      </c>
      <c r="H774" t="s">
        <v>3105</v>
      </c>
      <c r="I774" t="s">
        <v>3106</v>
      </c>
      <c r="J774" t="s">
        <v>46</v>
      </c>
      <c r="K774">
        <v>2</v>
      </c>
      <c r="L774">
        <v>15</v>
      </c>
      <c r="M774">
        <v>2033</v>
      </c>
      <c r="N774" t="s">
        <v>47</v>
      </c>
      <c r="O774" s="5">
        <f>DATE(Tabela1[[#This Row],[vigencia ano]],Tabela1[[#This Row],[vigencia mês]],Tabela1[[#This Row],[vigencia dia]])</f>
        <v>49005</v>
      </c>
    </row>
    <row r="775" spans="1:15" x14ac:dyDescent="0.25">
      <c r="A775" t="s">
        <v>41</v>
      </c>
      <c r="B775" t="s">
        <v>3107</v>
      </c>
      <c r="C775" s="1">
        <v>8973632000143</v>
      </c>
      <c r="D775" t="s">
        <v>3108</v>
      </c>
      <c r="E775" t="s">
        <v>2926</v>
      </c>
      <c r="F775" t="s">
        <v>4</v>
      </c>
      <c r="G775">
        <v>11010021</v>
      </c>
      <c r="H775" t="s">
        <v>3109</v>
      </c>
      <c r="I775" t="s">
        <v>3110</v>
      </c>
      <c r="J775" t="s">
        <v>56</v>
      </c>
      <c r="K775">
        <v>4</v>
      </c>
      <c r="L775">
        <v>26</v>
      </c>
      <c r="M775">
        <v>2031</v>
      </c>
      <c r="N775" t="s">
        <v>47</v>
      </c>
      <c r="O775" s="5">
        <f>DATE(Tabela1[[#This Row],[vigencia ano]],Tabela1[[#This Row],[vigencia mês]],Tabela1[[#This Row],[vigencia dia]])</f>
        <v>48614</v>
      </c>
    </row>
    <row r="776" spans="1:15" x14ac:dyDescent="0.25">
      <c r="A776" t="s">
        <v>41</v>
      </c>
      <c r="B776" t="s">
        <v>3111</v>
      </c>
      <c r="C776" s="1">
        <v>4948785000180</v>
      </c>
      <c r="D776" t="s">
        <v>3112</v>
      </c>
      <c r="E776" t="s">
        <v>2926</v>
      </c>
      <c r="F776" t="s">
        <v>4</v>
      </c>
      <c r="G776">
        <v>11010161</v>
      </c>
      <c r="H776" t="s">
        <v>3113</v>
      </c>
      <c r="I776" t="s">
        <v>3114</v>
      </c>
      <c r="J776" t="s">
        <v>56</v>
      </c>
      <c r="K776">
        <v>8</v>
      </c>
      <c r="L776">
        <v>23</v>
      </c>
      <c r="M776">
        <v>2015</v>
      </c>
      <c r="N776" t="s">
        <v>47</v>
      </c>
      <c r="O776" s="5">
        <f>DATE(Tabela1[[#This Row],[vigencia ano]],Tabela1[[#This Row],[vigencia mês]],Tabela1[[#This Row],[vigencia dia]])</f>
        <v>42682</v>
      </c>
    </row>
    <row r="777" spans="1:15" x14ac:dyDescent="0.25">
      <c r="A777" t="s">
        <v>41</v>
      </c>
      <c r="B777" t="s">
        <v>3115</v>
      </c>
      <c r="C777" s="1">
        <v>8611138000139</v>
      </c>
      <c r="D777" t="s">
        <v>3116</v>
      </c>
      <c r="E777" t="s">
        <v>2926</v>
      </c>
      <c r="F777" t="s">
        <v>4</v>
      </c>
      <c r="G777">
        <v>11013300</v>
      </c>
      <c r="H777" t="s">
        <v>3117</v>
      </c>
      <c r="I777" t="s">
        <v>3118</v>
      </c>
      <c r="J777" t="s">
        <v>56</v>
      </c>
      <c r="K777">
        <v>6</v>
      </c>
      <c r="L777">
        <v>24</v>
      </c>
      <c r="M777">
        <v>2024</v>
      </c>
      <c r="N777" t="s">
        <v>47</v>
      </c>
      <c r="O777" s="5">
        <f>DATE(Tabela1[[#This Row],[vigencia ano]],Tabela1[[#This Row],[vigencia mês]],Tabela1[[#This Row],[vigencia dia]])</f>
        <v>45997</v>
      </c>
    </row>
    <row r="778" spans="1:15" x14ac:dyDescent="0.25">
      <c r="A778" t="s">
        <v>41</v>
      </c>
      <c r="B778" t="s">
        <v>3119</v>
      </c>
      <c r="C778" s="1">
        <v>9423217000189</v>
      </c>
      <c r="D778" t="s">
        <v>3120</v>
      </c>
      <c r="E778" t="s">
        <v>2926</v>
      </c>
      <c r="F778" t="s">
        <v>4</v>
      </c>
      <c r="G778">
        <v>11013201</v>
      </c>
      <c r="H778" t="s">
        <v>3121</v>
      </c>
      <c r="I778" t="s">
        <v>3122</v>
      </c>
      <c r="J778" t="s">
        <v>56</v>
      </c>
      <c r="K778">
        <v>9</v>
      </c>
      <c r="L778">
        <v>26</v>
      </c>
      <c r="M778">
        <v>2028</v>
      </c>
      <c r="N778" t="s">
        <v>47</v>
      </c>
      <c r="O778" s="5">
        <f>DATE(Tabela1[[#This Row],[vigencia ano]],Tabela1[[#This Row],[vigencia mês]],Tabela1[[#This Row],[vigencia dia]])</f>
        <v>47523</v>
      </c>
    </row>
    <row r="779" spans="1:15" x14ac:dyDescent="0.25">
      <c r="A779" t="s">
        <v>41</v>
      </c>
      <c r="B779" t="s">
        <v>3123</v>
      </c>
      <c r="C779" s="1">
        <v>4507739000145</v>
      </c>
      <c r="D779" t="s">
        <v>3124</v>
      </c>
      <c r="E779" t="s">
        <v>2926</v>
      </c>
      <c r="F779" t="s">
        <v>4</v>
      </c>
      <c r="G779">
        <v>11090050</v>
      </c>
      <c r="H779" t="s">
        <v>3125</v>
      </c>
      <c r="I779" t="s">
        <v>3126</v>
      </c>
      <c r="J779" t="s">
        <v>56</v>
      </c>
      <c r="K779">
        <v>9</v>
      </c>
      <c r="L779">
        <v>29</v>
      </c>
      <c r="M779">
        <v>2027</v>
      </c>
      <c r="N779" t="s">
        <v>47</v>
      </c>
      <c r="O779" s="5">
        <f>DATE(Tabela1[[#This Row],[vigencia ano]],Tabela1[[#This Row],[vigencia mês]],Tabela1[[#This Row],[vigencia dia]])</f>
        <v>47247</v>
      </c>
    </row>
    <row r="780" spans="1:15" x14ac:dyDescent="0.25">
      <c r="A780" t="s">
        <v>41</v>
      </c>
      <c r="B780" t="s">
        <v>3127</v>
      </c>
      <c r="C780" s="1">
        <v>19769981000164</v>
      </c>
      <c r="D780" t="s">
        <v>3128</v>
      </c>
      <c r="E780" t="s">
        <v>2926</v>
      </c>
      <c r="F780" t="s">
        <v>4</v>
      </c>
      <c r="G780">
        <v>11090050</v>
      </c>
      <c r="H780" t="s">
        <v>3129</v>
      </c>
      <c r="I780" t="s">
        <v>3130</v>
      </c>
      <c r="J780" t="s">
        <v>56</v>
      </c>
      <c r="K780">
        <v>10</v>
      </c>
      <c r="L780">
        <v>7</v>
      </c>
      <c r="M780">
        <v>2024</v>
      </c>
      <c r="N780" t="s">
        <v>47</v>
      </c>
      <c r="O780" s="5">
        <f>DATE(Tabela1[[#This Row],[vigencia ano]],Tabela1[[#This Row],[vigencia mês]],Tabela1[[#This Row],[vigencia dia]])</f>
        <v>45483</v>
      </c>
    </row>
    <row r="781" spans="1:15" x14ac:dyDescent="0.25">
      <c r="A781" t="s">
        <v>41</v>
      </c>
      <c r="B781" t="s">
        <v>3131</v>
      </c>
      <c r="C781" s="1">
        <v>26578736000135</v>
      </c>
      <c r="D781" t="s">
        <v>3132</v>
      </c>
      <c r="E781" t="s">
        <v>2926</v>
      </c>
      <c r="F781" t="s">
        <v>4</v>
      </c>
      <c r="G781">
        <v>11015504</v>
      </c>
      <c r="H781" t="s">
        <v>3133</v>
      </c>
      <c r="I781" t="s">
        <v>3134</v>
      </c>
      <c r="J781" t="s">
        <v>56</v>
      </c>
      <c r="K781">
        <v>10</v>
      </c>
      <c r="L781">
        <v>7</v>
      </c>
      <c r="M781">
        <v>2029</v>
      </c>
      <c r="N781" t="s">
        <v>47</v>
      </c>
      <c r="O781" s="5">
        <f>DATE(Tabela1[[#This Row],[vigencia ano]],Tabela1[[#This Row],[vigencia mês]],Tabela1[[#This Row],[vigencia dia]])</f>
        <v>47309</v>
      </c>
    </row>
    <row r="782" spans="1:15" x14ac:dyDescent="0.25">
      <c r="A782" t="s">
        <v>41</v>
      </c>
      <c r="B782" t="s">
        <v>3135</v>
      </c>
      <c r="C782" s="1">
        <v>4001560000111</v>
      </c>
      <c r="D782" t="s">
        <v>3136</v>
      </c>
      <c r="E782" t="s">
        <v>2926</v>
      </c>
      <c r="F782" t="s">
        <v>4</v>
      </c>
      <c r="G782">
        <v>11013010</v>
      </c>
      <c r="H782" t="s">
        <v>3137</v>
      </c>
      <c r="I782" t="s">
        <v>3138</v>
      </c>
      <c r="J782" t="s">
        <v>56</v>
      </c>
      <c r="K782">
        <v>6</v>
      </c>
      <c r="L782">
        <v>21</v>
      </c>
      <c r="M782">
        <v>2026</v>
      </c>
      <c r="N782" t="s">
        <v>47</v>
      </c>
      <c r="O782" s="5">
        <f>DATE(Tabela1[[#This Row],[vigencia ano]],Tabela1[[#This Row],[vigencia mês]],Tabela1[[#This Row],[vigencia dia]])</f>
        <v>46636</v>
      </c>
    </row>
    <row r="783" spans="1:15" x14ac:dyDescent="0.25">
      <c r="A783" t="s">
        <v>41</v>
      </c>
      <c r="B783" t="s">
        <v>3139</v>
      </c>
      <c r="C783" s="1">
        <v>58156084000137</v>
      </c>
      <c r="D783" t="s">
        <v>3140</v>
      </c>
      <c r="E783" t="s">
        <v>2926</v>
      </c>
      <c r="F783" t="s">
        <v>4</v>
      </c>
      <c r="G783">
        <v>11015500</v>
      </c>
      <c r="H783" t="s">
        <v>3141</v>
      </c>
      <c r="I783" t="s">
        <v>3142</v>
      </c>
      <c r="J783" t="s">
        <v>46</v>
      </c>
      <c r="K783">
        <v>4</v>
      </c>
      <c r="L783">
        <v>29</v>
      </c>
      <c r="M783">
        <v>2025</v>
      </c>
      <c r="N783" t="s">
        <v>47</v>
      </c>
      <c r="O783" s="5">
        <f>DATE(Tabela1[[#This Row],[vigencia ano]],Tabela1[[#This Row],[vigencia mês]],Tabela1[[#This Row],[vigencia dia]])</f>
        <v>46511</v>
      </c>
    </row>
    <row r="784" spans="1:15" x14ac:dyDescent="0.25">
      <c r="A784" t="s">
        <v>41</v>
      </c>
      <c r="B784" t="s">
        <v>3143</v>
      </c>
      <c r="C784" s="1">
        <v>33611111000193</v>
      </c>
      <c r="D784" t="s">
        <v>3144</v>
      </c>
      <c r="E784" t="s">
        <v>2926</v>
      </c>
      <c r="F784" t="s">
        <v>4</v>
      </c>
      <c r="G784">
        <v>11015504</v>
      </c>
      <c r="H784" t="s">
        <v>3145</v>
      </c>
      <c r="I784" t="s">
        <v>3146</v>
      </c>
      <c r="J784" t="s">
        <v>46</v>
      </c>
      <c r="K784">
        <v>12</v>
      </c>
      <c r="L784">
        <v>23</v>
      </c>
      <c r="M784">
        <v>2034</v>
      </c>
      <c r="N784" t="s">
        <v>47</v>
      </c>
      <c r="O784" s="5">
        <f>DATE(Tabela1[[#This Row],[vigencia ano]],Tabela1[[#This Row],[vigencia mês]],Tabela1[[#This Row],[vigencia dia]])</f>
        <v>49625</v>
      </c>
    </row>
    <row r="785" spans="1:15" x14ac:dyDescent="0.25">
      <c r="A785" t="s">
        <v>41</v>
      </c>
      <c r="B785" t="s">
        <v>3147</v>
      </c>
      <c r="C785" s="1">
        <v>57246266000136</v>
      </c>
      <c r="D785" t="s">
        <v>3148</v>
      </c>
      <c r="E785" t="s">
        <v>2926</v>
      </c>
      <c r="F785" t="s">
        <v>4</v>
      </c>
      <c r="G785">
        <v>11095906</v>
      </c>
      <c r="H785" t="s">
        <v>3149</v>
      </c>
      <c r="I785" t="s">
        <v>3150</v>
      </c>
      <c r="J785" t="s">
        <v>46</v>
      </c>
      <c r="K785">
        <v>7</v>
      </c>
      <c r="L785">
        <v>30</v>
      </c>
      <c r="M785">
        <v>2020</v>
      </c>
      <c r="N785" t="s">
        <v>47</v>
      </c>
      <c r="O785" s="5">
        <f>DATE(Tabela1[[#This Row],[vigencia ano]],Tabela1[[#This Row],[vigencia mês]],Tabela1[[#This Row],[vigencia dia]])</f>
        <v>44719</v>
      </c>
    </row>
    <row r="786" spans="1:15" x14ac:dyDescent="0.25">
      <c r="A786" t="s">
        <v>41</v>
      </c>
      <c r="B786" t="s">
        <v>3151</v>
      </c>
      <c r="C786" s="1">
        <v>4215000180</v>
      </c>
      <c r="D786" t="s">
        <v>3152</v>
      </c>
      <c r="E786" t="s">
        <v>2926</v>
      </c>
      <c r="F786" t="s">
        <v>4</v>
      </c>
      <c r="G786">
        <v>11013010</v>
      </c>
      <c r="H786" t="s">
        <v>3153</v>
      </c>
      <c r="I786" t="s">
        <v>3154</v>
      </c>
      <c r="J786" t="s">
        <v>56</v>
      </c>
      <c r="K786">
        <v>10</v>
      </c>
      <c r="L786">
        <v>22</v>
      </c>
      <c r="M786">
        <v>2035</v>
      </c>
      <c r="N786" t="s">
        <v>3155</v>
      </c>
      <c r="O786" s="5">
        <f>DATE(Tabela1[[#This Row],[vigencia ano]],Tabela1[[#This Row],[vigencia mês]],Tabela1[[#This Row],[vigencia dia]])</f>
        <v>49958</v>
      </c>
    </row>
    <row r="787" spans="1:15" x14ac:dyDescent="0.25">
      <c r="A787" t="s">
        <v>41</v>
      </c>
      <c r="B787" t="s">
        <v>3156</v>
      </c>
      <c r="C787" s="1">
        <v>24478169000110</v>
      </c>
      <c r="D787" t="s">
        <v>3157</v>
      </c>
      <c r="E787" t="s">
        <v>2926</v>
      </c>
      <c r="F787" t="s">
        <v>4</v>
      </c>
      <c r="G787">
        <v>11060000</v>
      </c>
      <c r="H787" t="s">
        <v>3158</v>
      </c>
      <c r="I787" t="s">
        <v>3159</v>
      </c>
      <c r="J787" t="s">
        <v>56</v>
      </c>
      <c r="K787">
        <v>3</v>
      </c>
      <c r="L787">
        <v>18</v>
      </c>
      <c r="M787">
        <v>2030</v>
      </c>
      <c r="N787" t="s">
        <v>47</v>
      </c>
      <c r="O787" s="5">
        <f>DATE(Tabela1[[#This Row],[vigencia ano]],Tabela1[[#This Row],[vigencia mês]],Tabela1[[#This Row],[vigencia dia]])</f>
        <v>48002</v>
      </c>
    </row>
    <row r="788" spans="1:15" x14ac:dyDescent="0.25">
      <c r="A788" t="s">
        <v>41</v>
      </c>
      <c r="B788" t="s">
        <v>3160</v>
      </c>
      <c r="C788" s="1">
        <v>31448612000175</v>
      </c>
      <c r="D788" t="s">
        <v>3161</v>
      </c>
      <c r="E788" t="s">
        <v>2926</v>
      </c>
      <c r="F788" t="s">
        <v>4</v>
      </c>
      <c r="G788">
        <v>11060000</v>
      </c>
      <c r="H788" t="s">
        <v>3162</v>
      </c>
      <c r="I788" t="s">
        <v>3163</v>
      </c>
      <c r="J788" t="s">
        <v>56</v>
      </c>
      <c r="K788">
        <v>5</v>
      </c>
      <c r="L788">
        <v>26</v>
      </c>
      <c r="M788">
        <v>2031</v>
      </c>
      <c r="N788" t="s">
        <v>47</v>
      </c>
      <c r="O788" s="5">
        <f>DATE(Tabela1[[#This Row],[vigencia ano]],Tabela1[[#This Row],[vigencia mês]],Tabela1[[#This Row],[vigencia dia]])</f>
        <v>48615</v>
      </c>
    </row>
    <row r="789" spans="1:15" x14ac:dyDescent="0.25">
      <c r="A789" t="s">
        <v>41</v>
      </c>
      <c r="B789" t="s">
        <v>3164</v>
      </c>
      <c r="C789" s="1">
        <v>7153670000197</v>
      </c>
      <c r="D789" t="s">
        <v>3165</v>
      </c>
      <c r="E789" t="s">
        <v>2926</v>
      </c>
      <c r="F789" t="s">
        <v>4</v>
      </c>
      <c r="G789">
        <v>11015030</v>
      </c>
      <c r="H789" t="s">
        <v>3166</v>
      </c>
      <c r="I789" t="s">
        <v>3167</v>
      </c>
      <c r="J789" t="s">
        <v>46</v>
      </c>
      <c r="K789">
        <v>8</v>
      </c>
      <c r="L789">
        <v>31</v>
      </c>
      <c r="M789">
        <v>2017</v>
      </c>
      <c r="N789" t="s">
        <v>47</v>
      </c>
      <c r="O789" s="5">
        <f>DATE(Tabela1[[#This Row],[vigencia ano]],Tabela1[[#This Row],[vigencia mês]],Tabela1[[#This Row],[vigencia dia]])</f>
        <v>43654</v>
      </c>
    </row>
    <row r="790" spans="1:15" x14ac:dyDescent="0.25">
      <c r="A790" t="s">
        <v>41</v>
      </c>
      <c r="B790" t="s">
        <v>3168</v>
      </c>
      <c r="C790" s="1">
        <v>84046101000193</v>
      </c>
      <c r="D790" t="s">
        <v>3169</v>
      </c>
      <c r="E790" t="s">
        <v>2926</v>
      </c>
      <c r="F790" t="s">
        <v>4</v>
      </c>
      <c r="G790">
        <v>11015305</v>
      </c>
      <c r="H790" t="s">
        <v>3170</v>
      </c>
      <c r="I790" t="s">
        <v>3171</v>
      </c>
      <c r="J790" t="s">
        <v>56</v>
      </c>
      <c r="K790">
        <v>1</v>
      </c>
      <c r="L790">
        <v>15</v>
      </c>
      <c r="M790">
        <v>2023</v>
      </c>
      <c r="N790" t="s">
        <v>47</v>
      </c>
      <c r="O790" s="5">
        <f>DATE(Tabela1[[#This Row],[vigencia ano]],Tabela1[[#This Row],[vigencia mês]],Tabela1[[#This Row],[vigencia dia]])</f>
        <v>45352</v>
      </c>
    </row>
    <row r="791" spans="1:15" x14ac:dyDescent="0.25">
      <c r="A791" t="s">
        <v>41</v>
      </c>
      <c r="B791" t="s">
        <v>3172</v>
      </c>
      <c r="C791" s="1">
        <v>956633000178</v>
      </c>
      <c r="D791" t="s">
        <v>3173</v>
      </c>
      <c r="E791" t="s">
        <v>2926</v>
      </c>
      <c r="F791" t="s">
        <v>4</v>
      </c>
      <c r="G791">
        <v>11010120</v>
      </c>
      <c r="H791" t="s">
        <v>3174</v>
      </c>
      <c r="I791" t="s">
        <v>3175</v>
      </c>
      <c r="J791" t="s">
        <v>56</v>
      </c>
      <c r="K791">
        <v>2</v>
      </c>
      <c r="L791">
        <v>13</v>
      </c>
      <c r="M791">
        <v>2016</v>
      </c>
      <c r="N791" t="s">
        <v>47</v>
      </c>
      <c r="O791" s="5">
        <f>DATE(Tabela1[[#This Row],[vigencia ano]],Tabela1[[#This Row],[vigencia mês]],Tabela1[[#This Row],[vigencia dia]])</f>
        <v>42737</v>
      </c>
    </row>
    <row r="792" spans="1:15" x14ac:dyDescent="0.25">
      <c r="A792" t="s">
        <v>41</v>
      </c>
      <c r="B792" t="s">
        <v>3176</v>
      </c>
      <c r="C792" s="1">
        <v>59267138000102</v>
      </c>
      <c r="D792" t="s">
        <v>3177</v>
      </c>
      <c r="E792" t="s">
        <v>2926</v>
      </c>
      <c r="F792" t="s">
        <v>4</v>
      </c>
      <c r="G792">
        <v>11010121</v>
      </c>
      <c r="H792" t="s">
        <v>3178</v>
      </c>
      <c r="I792" t="s">
        <v>3179</v>
      </c>
      <c r="J792" t="s">
        <v>56</v>
      </c>
      <c r="K792">
        <v>5</v>
      </c>
      <c r="L792">
        <v>14</v>
      </c>
      <c r="M792">
        <v>2029</v>
      </c>
      <c r="N792" t="s">
        <v>47</v>
      </c>
      <c r="O792" s="5">
        <f>DATE(Tabela1[[#This Row],[vigencia ano]],Tabela1[[#This Row],[vigencia mês]],Tabela1[[#This Row],[vigencia dia]])</f>
        <v>47519</v>
      </c>
    </row>
    <row r="793" spans="1:15" x14ac:dyDescent="0.25">
      <c r="A793" t="s">
        <v>41</v>
      </c>
      <c r="B793" t="s">
        <v>3180</v>
      </c>
      <c r="C793" s="1">
        <v>7353607000102</v>
      </c>
      <c r="D793" t="s">
        <v>3181</v>
      </c>
      <c r="E793" t="s">
        <v>2926</v>
      </c>
      <c r="F793" t="s">
        <v>4</v>
      </c>
      <c r="G793">
        <v>11010040</v>
      </c>
      <c r="H793" t="s">
        <v>3182</v>
      </c>
      <c r="I793" t="s">
        <v>3183</v>
      </c>
      <c r="J793" t="s">
        <v>56</v>
      </c>
      <c r="K793">
        <v>7</v>
      </c>
      <c r="L793">
        <v>27</v>
      </c>
      <c r="M793">
        <v>2036</v>
      </c>
      <c r="N793" t="s">
        <v>3184</v>
      </c>
      <c r="O793" s="5">
        <f>DATE(Tabela1[[#This Row],[vigencia ano]],Tabela1[[#This Row],[vigencia mês]],Tabela1[[#This Row],[vigencia dia]])</f>
        <v>50471</v>
      </c>
    </row>
    <row r="794" spans="1:15" x14ac:dyDescent="0.25">
      <c r="A794" t="s">
        <v>41</v>
      </c>
      <c r="B794" t="s">
        <v>3180</v>
      </c>
      <c r="C794" s="1">
        <v>7353607000102</v>
      </c>
      <c r="D794" t="s">
        <v>3181</v>
      </c>
      <c r="E794" t="s">
        <v>2926</v>
      </c>
      <c r="F794" t="s">
        <v>4</v>
      </c>
      <c r="G794">
        <v>11010040</v>
      </c>
      <c r="H794" t="s">
        <v>3185</v>
      </c>
      <c r="I794" t="s">
        <v>3183</v>
      </c>
      <c r="J794" t="s">
        <v>56</v>
      </c>
      <c r="K794">
        <v>7</v>
      </c>
      <c r="L794">
        <v>27</v>
      </c>
      <c r="M794">
        <v>2036</v>
      </c>
      <c r="N794" t="s">
        <v>3184</v>
      </c>
      <c r="O794" s="5">
        <f>DATE(Tabela1[[#This Row],[vigencia ano]],Tabela1[[#This Row],[vigencia mês]],Tabela1[[#This Row],[vigencia dia]])</f>
        <v>50471</v>
      </c>
    </row>
    <row r="795" spans="1:15" x14ac:dyDescent="0.25">
      <c r="A795" t="s">
        <v>41</v>
      </c>
      <c r="B795" t="s">
        <v>3186</v>
      </c>
      <c r="C795" s="1">
        <v>27096000181</v>
      </c>
      <c r="D795" t="s">
        <v>3187</v>
      </c>
      <c r="E795" t="s">
        <v>2926</v>
      </c>
      <c r="F795" t="s">
        <v>4</v>
      </c>
      <c r="G795">
        <v>11015500</v>
      </c>
      <c r="I795" t="s">
        <v>3188</v>
      </c>
      <c r="J795" t="s">
        <v>56</v>
      </c>
      <c r="K795">
        <v>12</v>
      </c>
      <c r="L795">
        <v>28</v>
      </c>
      <c r="M795">
        <v>2015</v>
      </c>
      <c r="N795" t="s">
        <v>47</v>
      </c>
      <c r="O795" s="5">
        <f>DATE(Tabela1[[#This Row],[vigencia ano]],Tabela1[[#This Row],[vigencia mês]],Tabela1[[#This Row],[vigencia dia]])</f>
        <v>42837</v>
      </c>
    </row>
    <row r="796" spans="1:15" x14ac:dyDescent="0.25">
      <c r="A796" t="s">
        <v>41</v>
      </c>
      <c r="B796" t="s">
        <v>3189</v>
      </c>
      <c r="C796" s="1">
        <v>52247381000101</v>
      </c>
      <c r="D796" t="s">
        <v>3190</v>
      </c>
      <c r="E796" t="s">
        <v>2926</v>
      </c>
      <c r="F796" t="s">
        <v>4</v>
      </c>
      <c r="G796">
        <v>11035260</v>
      </c>
      <c r="H796" t="s">
        <v>3191</v>
      </c>
      <c r="I796" t="s">
        <v>3192</v>
      </c>
      <c r="J796" t="s">
        <v>46</v>
      </c>
      <c r="K796">
        <v>4</v>
      </c>
      <c r="L796">
        <v>22</v>
      </c>
      <c r="M796">
        <v>2034</v>
      </c>
      <c r="N796" t="s">
        <v>47</v>
      </c>
      <c r="O796" s="5">
        <f>DATE(Tabela1[[#This Row],[vigencia ano]],Tabela1[[#This Row],[vigencia mês]],Tabela1[[#This Row],[vigencia dia]])</f>
        <v>49586</v>
      </c>
    </row>
    <row r="797" spans="1:15" x14ac:dyDescent="0.25">
      <c r="A797" t="s">
        <v>41</v>
      </c>
      <c r="B797" t="s">
        <v>3193</v>
      </c>
      <c r="C797" s="1">
        <v>4309775000102</v>
      </c>
      <c r="D797" t="s">
        <v>3194</v>
      </c>
      <c r="E797" t="s">
        <v>2926</v>
      </c>
      <c r="F797" t="s">
        <v>4</v>
      </c>
      <c r="G797">
        <v>11013201</v>
      </c>
      <c r="H797" t="s">
        <v>3195</v>
      </c>
      <c r="I797" t="s">
        <v>3196</v>
      </c>
      <c r="J797" t="s">
        <v>56</v>
      </c>
      <c r="K797">
        <v>7</v>
      </c>
      <c r="L797">
        <v>17</v>
      </c>
      <c r="M797">
        <v>2023</v>
      </c>
      <c r="N797" t="s">
        <v>47</v>
      </c>
      <c r="O797" s="5">
        <f>DATE(Tabela1[[#This Row],[vigencia ano]],Tabela1[[#This Row],[vigencia mês]],Tabela1[[#This Row],[vigencia dia]])</f>
        <v>45419</v>
      </c>
    </row>
    <row r="798" spans="1:15" x14ac:dyDescent="0.25">
      <c r="A798" t="s">
        <v>41</v>
      </c>
      <c r="B798" t="s">
        <v>3197</v>
      </c>
      <c r="C798" s="1">
        <v>10140658000152</v>
      </c>
      <c r="D798" t="s">
        <v>3198</v>
      </c>
      <c r="E798" t="s">
        <v>2926</v>
      </c>
      <c r="F798" t="s">
        <v>4</v>
      </c>
      <c r="G798">
        <v>11065922</v>
      </c>
      <c r="H798" t="s">
        <v>3199</v>
      </c>
      <c r="I798" t="s">
        <v>3200</v>
      </c>
      <c r="J798" t="s">
        <v>56</v>
      </c>
      <c r="K798">
        <v>12</v>
      </c>
      <c r="L798">
        <v>22</v>
      </c>
      <c r="M798">
        <v>2021</v>
      </c>
      <c r="N798" t="s">
        <v>47</v>
      </c>
      <c r="O798" s="5">
        <f>DATE(Tabela1[[#This Row],[vigencia ano]],Tabela1[[#This Row],[vigencia mês]],Tabela1[[#This Row],[vigencia dia]])</f>
        <v>44846</v>
      </c>
    </row>
    <row r="799" spans="1:15" x14ac:dyDescent="0.25">
      <c r="A799" t="s">
        <v>41</v>
      </c>
      <c r="B799" t="s">
        <v>3201</v>
      </c>
      <c r="C799" s="1">
        <v>96407705000105</v>
      </c>
      <c r="D799" t="s">
        <v>3202</v>
      </c>
      <c r="E799" t="s">
        <v>2926</v>
      </c>
      <c r="F799" t="s">
        <v>4</v>
      </c>
      <c r="G799">
        <v>11013161</v>
      </c>
      <c r="H799" t="s">
        <v>3203</v>
      </c>
      <c r="I799" t="s">
        <v>3204</v>
      </c>
      <c r="J799" t="s">
        <v>46</v>
      </c>
      <c r="K799">
        <v>10</v>
      </c>
      <c r="L799">
        <v>13</v>
      </c>
      <c r="M799">
        <v>2015</v>
      </c>
      <c r="N799" t="s">
        <v>47</v>
      </c>
      <c r="O799" s="5">
        <f>DATE(Tabela1[[#This Row],[vigencia ano]],Tabela1[[#This Row],[vigencia mês]],Tabela1[[#This Row],[vigencia dia]])</f>
        <v>42379</v>
      </c>
    </row>
    <row r="800" spans="1:15" x14ac:dyDescent="0.25">
      <c r="A800" t="s">
        <v>41</v>
      </c>
      <c r="B800" t="s">
        <v>3205</v>
      </c>
      <c r="C800" s="1">
        <v>7649313000114</v>
      </c>
      <c r="D800" t="s">
        <v>3206</v>
      </c>
      <c r="E800" t="s">
        <v>2926</v>
      </c>
      <c r="F800" t="s">
        <v>4</v>
      </c>
      <c r="G800">
        <v>11013020</v>
      </c>
      <c r="H800" t="s">
        <v>3207</v>
      </c>
      <c r="I800" t="s">
        <v>3208</v>
      </c>
      <c r="J800" t="s">
        <v>56</v>
      </c>
      <c r="K800">
        <v>9</v>
      </c>
      <c r="L800">
        <v>28</v>
      </c>
      <c r="M800">
        <v>2017</v>
      </c>
      <c r="N800" t="s">
        <v>47</v>
      </c>
      <c r="O800" s="5">
        <f>DATE(Tabela1[[#This Row],[vigencia ano]],Tabela1[[#This Row],[vigencia mês]],Tabela1[[#This Row],[vigencia dia]])</f>
        <v>43564</v>
      </c>
    </row>
    <row r="801" spans="1:15" x14ac:dyDescent="0.25">
      <c r="A801" t="s">
        <v>41</v>
      </c>
      <c r="B801" t="s">
        <v>3205</v>
      </c>
      <c r="C801" s="1">
        <v>7649313000114</v>
      </c>
      <c r="D801" t="s">
        <v>3206</v>
      </c>
      <c r="E801" t="s">
        <v>2926</v>
      </c>
      <c r="F801" t="s">
        <v>4</v>
      </c>
      <c r="G801">
        <v>11013020</v>
      </c>
      <c r="H801" t="s">
        <v>3207</v>
      </c>
      <c r="I801" t="s">
        <v>3209</v>
      </c>
      <c r="J801" t="s">
        <v>56</v>
      </c>
      <c r="K801">
        <v>12</v>
      </c>
      <c r="L801">
        <v>15</v>
      </c>
      <c r="M801">
        <v>2027</v>
      </c>
      <c r="N801" t="s">
        <v>47</v>
      </c>
      <c r="O801" s="5">
        <f>DATE(Tabela1[[#This Row],[vigencia ano]],Tabela1[[#This Row],[vigencia mês]],Tabela1[[#This Row],[vigencia dia]])</f>
        <v>46824</v>
      </c>
    </row>
    <row r="802" spans="1:15" x14ac:dyDescent="0.25">
      <c r="A802" t="s">
        <v>41</v>
      </c>
      <c r="B802" t="s">
        <v>3210</v>
      </c>
      <c r="C802" s="1">
        <v>9629581000108</v>
      </c>
      <c r="D802" t="s">
        <v>3211</v>
      </c>
      <c r="E802" t="s">
        <v>2926</v>
      </c>
      <c r="F802" t="s">
        <v>4</v>
      </c>
      <c r="G802">
        <v>11013918</v>
      </c>
      <c r="H802" t="s">
        <v>3212</v>
      </c>
      <c r="I802" t="s">
        <v>3213</v>
      </c>
      <c r="J802" t="s">
        <v>56</v>
      </c>
      <c r="K802">
        <v>1</v>
      </c>
      <c r="L802">
        <v>29</v>
      </c>
      <c r="M802">
        <v>2028</v>
      </c>
      <c r="N802" t="s">
        <v>47</v>
      </c>
      <c r="O802" s="5">
        <f>DATE(Tabela1[[#This Row],[vigencia ano]],Tabela1[[#This Row],[vigencia mês]],Tabela1[[#This Row],[vigencia dia]])</f>
        <v>47604</v>
      </c>
    </row>
    <row r="803" spans="1:15" x14ac:dyDescent="0.25">
      <c r="A803" t="s">
        <v>41</v>
      </c>
      <c r="B803" t="s">
        <v>3214</v>
      </c>
      <c r="C803" s="1">
        <v>24960415000175</v>
      </c>
      <c r="D803" t="s">
        <v>3215</v>
      </c>
      <c r="E803" t="s">
        <v>2926</v>
      </c>
      <c r="F803" t="s">
        <v>4</v>
      </c>
      <c r="G803">
        <v>11015504</v>
      </c>
      <c r="H803" t="s">
        <v>3216</v>
      </c>
      <c r="I803" t="s">
        <v>3217</v>
      </c>
      <c r="J803" t="s">
        <v>56</v>
      </c>
      <c r="K803">
        <v>9</v>
      </c>
      <c r="L803">
        <v>30</v>
      </c>
      <c r="M803">
        <v>2032</v>
      </c>
      <c r="N803" t="s">
        <v>47</v>
      </c>
      <c r="O803" s="5">
        <f>DATE(Tabela1[[#This Row],[vigencia ano]],Tabela1[[#This Row],[vigencia mês]],Tabela1[[#This Row],[vigencia dia]])</f>
        <v>49104</v>
      </c>
    </row>
    <row r="804" spans="1:15" x14ac:dyDescent="0.25">
      <c r="A804" t="s">
        <v>41</v>
      </c>
      <c r="B804" t="s">
        <v>3218</v>
      </c>
      <c r="C804" s="1">
        <v>40272996000109</v>
      </c>
      <c r="D804" t="s">
        <v>3219</v>
      </c>
      <c r="E804" t="s">
        <v>2926</v>
      </c>
      <c r="F804" t="s">
        <v>4</v>
      </c>
      <c r="G804">
        <v>11010123</v>
      </c>
      <c r="H804" t="s">
        <v>3220</v>
      </c>
      <c r="I804" t="s">
        <v>3221</v>
      </c>
      <c r="J804" t="s">
        <v>56</v>
      </c>
      <c r="K804">
        <v>3</v>
      </c>
      <c r="L804">
        <v>30</v>
      </c>
      <c r="M804">
        <v>2031</v>
      </c>
      <c r="N804" t="s">
        <v>47</v>
      </c>
      <c r="O804" s="5">
        <f>DATE(Tabela1[[#This Row],[vigencia ano]],Tabela1[[#This Row],[vigencia mês]],Tabela1[[#This Row],[vigencia dia]])</f>
        <v>48733</v>
      </c>
    </row>
    <row r="805" spans="1:15" x14ac:dyDescent="0.25">
      <c r="A805" t="s">
        <v>41</v>
      </c>
      <c r="B805" t="s">
        <v>3222</v>
      </c>
      <c r="C805" s="1">
        <v>31527624000195</v>
      </c>
      <c r="D805" t="s">
        <v>3223</v>
      </c>
      <c r="E805" t="s">
        <v>2926</v>
      </c>
      <c r="F805" t="s">
        <v>4</v>
      </c>
      <c r="G805">
        <v>11010904</v>
      </c>
      <c r="H805" t="s">
        <v>2705</v>
      </c>
      <c r="I805" t="s">
        <v>3224</v>
      </c>
      <c r="J805" t="s">
        <v>46</v>
      </c>
      <c r="K805">
        <v>5</v>
      </c>
      <c r="L805">
        <v>9</v>
      </c>
      <c r="M805">
        <v>2029</v>
      </c>
      <c r="N805" t="s">
        <v>47</v>
      </c>
      <c r="O805" s="5">
        <f>DATE(Tabela1[[#This Row],[vigencia ano]],Tabela1[[#This Row],[vigencia mês]],Tabela1[[#This Row],[vigencia dia]])</f>
        <v>47366</v>
      </c>
    </row>
    <row r="806" spans="1:15" x14ac:dyDescent="0.25">
      <c r="A806" t="s">
        <v>41</v>
      </c>
      <c r="B806" t="s">
        <v>3225</v>
      </c>
      <c r="C806" s="1">
        <v>31574231000132</v>
      </c>
      <c r="D806" t="s">
        <v>3226</v>
      </c>
      <c r="E806" t="s">
        <v>2926</v>
      </c>
      <c r="F806" t="s">
        <v>4</v>
      </c>
      <c r="G806">
        <v>11010902</v>
      </c>
      <c r="H806" t="s">
        <v>3227</v>
      </c>
      <c r="I806" t="s">
        <v>3228</v>
      </c>
      <c r="J806" t="s">
        <v>56</v>
      </c>
      <c r="K806">
        <v>4</v>
      </c>
      <c r="L806">
        <v>1</v>
      </c>
      <c r="M806">
        <v>2029</v>
      </c>
      <c r="N806" t="s">
        <v>47</v>
      </c>
      <c r="O806" s="5">
        <f>DATE(Tabela1[[#This Row],[vigencia ano]],Tabela1[[#This Row],[vigencia mês]],Tabela1[[#This Row],[vigencia dia]])</f>
        <v>47122</v>
      </c>
    </row>
    <row r="807" spans="1:15" x14ac:dyDescent="0.25">
      <c r="A807" t="s">
        <v>41</v>
      </c>
      <c r="B807" t="s">
        <v>3229</v>
      </c>
      <c r="C807" s="1">
        <v>5596162000158</v>
      </c>
      <c r="D807" t="s">
        <v>3230</v>
      </c>
      <c r="E807" t="s">
        <v>2926</v>
      </c>
      <c r="F807" t="s">
        <v>4</v>
      </c>
      <c r="G807">
        <v>11013030</v>
      </c>
      <c r="H807" t="s">
        <v>2176</v>
      </c>
      <c r="I807" t="s">
        <v>3231</v>
      </c>
      <c r="J807" t="s">
        <v>56</v>
      </c>
      <c r="K807">
        <v>9</v>
      </c>
      <c r="L807">
        <v>12</v>
      </c>
      <c r="M807">
        <v>2033</v>
      </c>
      <c r="N807" t="s">
        <v>47</v>
      </c>
      <c r="O807" s="5">
        <f>DATE(Tabela1[[#This Row],[vigencia ano]],Tabela1[[#This Row],[vigencia mês]],Tabela1[[#This Row],[vigencia dia]])</f>
        <v>48922</v>
      </c>
    </row>
    <row r="808" spans="1:15" x14ac:dyDescent="0.25">
      <c r="A808" t="s">
        <v>41</v>
      </c>
      <c r="B808" t="s">
        <v>3232</v>
      </c>
      <c r="C808" s="1">
        <v>18982709000103</v>
      </c>
      <c r="D808" t="s">
        <v>3233</v>
      </c>
      <c r="E808" t="s">
        <v>2926</v>
      </c>
      <c r="F808" t="s">
        <v>4</v>
      </c>
      <c r="G808">
        <v>11050031</v>
      </c>
      <c r="H808" t="s">
        <v>3234</v>
      </c>
      <c r="I808" t="s">
        <v>3235</v>
      </c>
      <c r="J808" t="s">
        <v>56</v>
      </c>
      <c r="K808">
        <v>1</v>
      </c>
      <c r="L808">
        <v>22</v>
      </c>
      <c r="M808">
        <v>2026</v>
      </c>
      <c r="N808" t="s">
        <v>47</v>
      </c>
      <c r="O808" s="5">
        <f>DATE(Tabela1[[#This Row],[vigencia ano]],Tabela1[[#This Row],[vigencia mês]],Tabela1[[#This Row],[vigencia dia]])</f>
        <v>46661</v>
      </c>
    </row>
    <row r="809" spans="1:15" x14ac:dyDescent="0.25">
      <c r="A809" t="s">
        <v>41</v>
      </c>
      <c r="B809" t="s">
        <v>3236</v>
      </c>
      <c r="C809" s="1">
        <v>1137526000180</v>
      </c>
      <c r="D809" t="s">
        <v>3237</v>
      </c>
      <c r="E809" t="s">
        <v>2926</v>
      </c>
      <c r="F809" t="s">
        <v>4</v>
      </c>
      <c r="G809">
        <v>11050031</v>
      </c>
      <c r="H809" t="s">
        <v>3227</v>
      </c>
      <c r="I809" t="s">
        <v>3238</v>
      </c>
      <c r="J809" t="s">
        <v>56</v>
      </c>
      <c r="K809">
        <v>8</v>
      </c>
      <c r="L809">
        <v>22</v>
      </c>
      <c r="M809">
        <v>2032</v>
      </c>
      <c r="N809" t="s">
        <v>47</v>
      </c>
      <c r="O809" s="5">
        <f>DATE(Tabela1[[#This Row],[vigencia ano]],Tabela1[[#This Row],[vigencia mês]],Tabela1[[#This Row],[vigencia dia]])</f>
        <v>48860</v>
      </c>
    </row>
    <row r="810" spans="1:15" x14ac:dyDescent="0.25">
      <c r="A810" t="s">
        <v>41</v>
      </c>
      <c r="B810" t="s">
        <v>3239</v>
      </c>
      <c r="C810" s="1">
        <v>8783287000185</v>
      </c>
      <c r="D810" t="s">
        <v>3240</v>
      </c>
      <c r="E810" t="s">
        <v>2926</v>
      </c>
      <c r="F810" t="s">
        <v>4</v>
      </c>
      <c r="G810">
        <v>11015500</v>
      </c>
      <c r="H810" t="s">
        <v>3241</v>
      </c>
      <c r="I810" t="s">
        <v>3242</v>
      </c>
      <c r="J810" t="s">
        <v>56</v>
      </c>
      <c r="K810">
        <v>12</v>
      </c>
      <c r="L810">
        <v>23</v>
      </c>
      <c r="M810">
        <v>2024</v>
      </c>
      <c r="N810" t="s">
        <v>47</v>
      </c>
      <c r="O810" s="5">
        <f>DATE(Tabela1[[#This Row],[vigencia ano]],Tabela1[[#This Row],[vigencia mês]],Tabela1[[#This Row],[vigencia dia]])</f>
        <v>45973</v>
      </c>
    </row>
    <row r="811" spans="1:15" x14ac:dyDescent="0.25">
      <c r="A811" t="s">
        <v>41</v>
      </c>
      <c r="B811" t="s">
        <v>3243</v>
      </c>
      <c r="C811" s="1">
        <v>13227703000107</v>
      </c>
      <c r="D811" t="s">
        <v>3244</v>
      </c>
      <c r="E811" t="s">
        <v>2926</v>
      </c>
      <c r="F811" t="s">
        <v>4</v>
      </c>
      <c r="G811">
        <v>11010071</v>
      </c>
      <c r="H811" t="s">
        <v>3245</v>
      </c>
      <c r="I811" t="s">
        <v>3246</v>
      </c>
      <c r="J811" t="s">
        <v>56</v>
      </c>
      <c r="K811">
        <v>12</v>
      </c>
      <c r="L811">
        <v>21</v>
      </c>
      <c r="M811">
        <v>2027</v>
      </c>
      <c r="N811" t="s">
        <v>47</v>
      </c>
      <c r="O811" s="5">
        <f>DATE(Tabela1[[#This Row],[vigencia ano]],Tabela1[[#This Row],[vigencia mês]],Tabela1[[#This Row],[vigencia dia]])</f>
        <v>47008</v>
      </c>
    </row>
    <row r="812" spans="1:15" x14ac:dyDescent="0.25">
      <c r="A812" t="s">
        <v>41</v>
      </c>
      <c r="B812" t="s">
        <v>3247</v>
      </c>
      <c r="C812" s="1">
        <v>37028721000110</v>
      </c>
      <c r="D812" t="s">
        <v>3248</v>
      </c>
      <c r="E812" t="s">
        <v>2926</v>
      </c>
      <c r="F812" t="s">
        <v>4</v>
      </c>
      <c r="G812">
        <v>11050031</v>
      </c>
      <c r="H812" t="s">
        <v>3249</v>
      </c>
      <c r="I812" t="s">
        <v>3250</v>
      </c>
      <c r="J812" t="s">
        <v>56</v>
      </c>
      <c r="K812">
        <v>9</v>
      </c>
      <c r="L812">
        <v>17</v>
      </c>
      <c r="M812">
        <v>2030</v>
      </c>
      <c r="N812" t="s">
        <v>47</v>
      </c>
      <c r="O812" s="5">
        <f>DATE(Tabela1[[#This Row],[vigencia ano]],Tabela1[[#This Row],[vigencia mês]],Tabela1[[#This Row],[vigencia dia]])</f>
        <v>47977</v>
      </c>
    </row>
    <row r="813" spans="1:15" x14ac:dyDescent="0.25">
      <c r="A813" t="s">
        <v>41</v>
      </c>
      <c r="B813" t="s">
        <v>3251</v>
      </c>
      <c r="C813" s="1">
        <v>60291275000153</v>
      </c>
      <c r="D813" t="s">
        <v>3252</v>
      </c>
      <c r="E813" t="s">
        <v>2926</v>
      </c>
      <c r="F813" t="s">
        <v>4</v>
      </c>
      <c r="G813">
        <v>11013010</v>
      </c>
      <c r="H813" t="s">
        <v>3253</v>
      </c>
      <c r="I813" t="s">
        <v>3254</v>
      </c>
      <c r="J813" t="s">
        <v>46</v>
      </c>
      <c r="K813">
        <v>4</v>
      </c>
      <c r="L813">
        <v>27</v>
      </c>
      <c r="M813">
        <v>2027</v>
      </c>
      <c r="N813" t="s">
        <v>47</v>
      </c>
      <c r="O813" s="5">
        <f>DATE(Tabela1[[#This Row],[vigencia ano]],Tabela1[[#This Row],[vigencia mês]],Tabela1[[#This Row],[vigencia dia]])</f>
        <v>47181</v>
      </c>
    </row>
    <row r="814" spans="1:15" x14ac:dyDescent="0.25">
      <c r="A814" t="s">
        <v>41</v>
      </c>
      <c r="B814" t="s">
        <v>3255</v>
      </c>
      <c r="C814" s="1">
        <v>2366950000160</v>
      </c>
      <c r="D814" t="s">
        <v>3256</v>
      </c>
      <c r="E814" t="s">
        <v>2926</v>
      </c>
      <c r="F814" t="s">
        <v>4</v>
      </c>
      <c r="G814">
        <v>11013300</v>
      </c>
      <c r="H814" t="s">
        <v>3257</v>
      </c>
      <c r="I814" t="s">
        <v>3258</v>
      </c>
      <c r="J814" t="s">
        <v>56</v>
      </c>
      <c r="K814">
        <v>8</v>
      </c>
      <c r="L814">
        <v>18</v>
      </c>
      <c r="M814">
        <v>2015</v>
      </c>
      <c r="N814" t="s">
        <v>47</v>
      </c>
      <c r="O814" s="5">
        <f>DATE(Tabela1[[#This Row],[vigencia ano]],Tabela1[[#This Row],[vigencia mês]],Tabela1[[#This Row],[vigencia dia]])</f>
        <v>42529</v>
      </c>
    </row>
    <row r="815" spans="1:15" x14ac:dyDescent="0.25">
      <c r="A815" t="s">
        <v>41</v>
      </c>
      <c r="B815" t="s">
        <v>3259</v>
      </c>
      <c r="C815" s="1">
        <v>8039815000196</v>
      </c>
      <c r="D815" t="s">
        <v>3260</v>
      </c>
      <c r="E815" t="s">
        <v>2926</v>
      </c>
      <c r="F815" t="s">
        <v>4</v>
      </c>
      <c r="G815">
        <v>11013010</v>
      </c>
      <c r="H815" t="s">
        <v>3261</v>
      </c>
      <c r="I815" t="s">
        <v>3262</v>
      </c>
      <c r="J815" t="s">
        <v>56</v>
      </c>
      <c r="K815">
        <v>12</v>
      </c>
      <c r="L815">
        <v>2</v>
      </c>
      <c r="M815">
        <v>2025</v>
      </c>
      <c r="N815" t="s">
        <v>47</v>
      </c>
      <c r="O815" s="5">
        <f>DATE(Tabela1[[#This Row],[vigencia ano]],Tabela1[[#This Row],[vigencia mês]],Tabela1[[#This Row],[vigencia dia]])</f>
        <v>45700</v>
      </c>
    </row>
    <row r="816" spans="1:15" x14ac:dyDescent="0.25">
      <c r="A816" t="s">
        <v>41</v>
      </c>
      <c r="B816" t="s">
        <v>3263</v>
      </c>
      <c r="C816" s="1">
        <v>58188756000196</v>
      </c>
      <c r="D816" t="s">
        <v>3264</v>
      </c>
      <c r="E816" t="s">
        <v>2926</v>
      </c>
      <c r="F816" t="s">
        <v>4</v>
      </c>
      <c r="G816">
        <v>11060000</v>
      </c>
      <c r="H816" t="s">
        <v>3265</v>
      </c>
      <c r="I816" t="s">
        <v>3266</v>
      </c>
      <c r="J816" t="s">
        <v>56</v>
      </c>
      <c r="K816">
        <v>4</v>
      </c>
      <c r="L816">
        <v>24</v>
      </c>
      <c r="M816">
        <v>2035</v>
      </c>
      <c r="N816" t="s">
        <v>3267</v>
      </c>
      <c r="O816" s="5">
        <f>DATE(Tabela1[[#This Row],[vigencia ano]],Tabela1[[#This Row],[vigencia mês]],Tabela1[[#This Row],[vigencia dia]])</f>
        <v>50013</v>
      </c>
    </row>
    <row r="817" spans="1:15" x14ac:dyDescent="0.25">
      <c r="A817" t="s">
        <v>41</v>
      </c>
      <c r="B817" t="s">
        <v>3268</v>
      </c>
      <c r="C817" s="1">
        <v>57027142000160</v>
      </c>
      <c r="D817" t="s">
        <v>3269</v>
      </c>
      <c r="E817" t="s">
        <v>2926</v>
      </c>
      <c r="F817" t="s">
        <v>4</v>
      </c>
      <c r="G817">
        <v>11035260</v>
      </c>
      <c r="H817" t="s">
        <v>3270</v>
      </c>
      <c r="I817" t="s">
        <v>3271</v>
      </c>
      <c r="J817" t="s">
        <v>56</v>
      </c>
      <c r="K817">
        <v>12</v>
      </c>
      <c r="L817">
        <v>19</v>
      </c>
      <c r="M817">
        <v>2035</v>
      </c>
      <c r="N817" t="s">
        <v>3272</v>
      </c>
      <c r="O817" s="5">
        <f>DATE(Tabela1[[#This Row],[vigencia ano]],Tabela1[[#This Row],[vigencia mês]],Tabela1[[#This Row],[vigencia dia]])</f>
        <v>49868</v>
      </c>
    </row>
    <row r="818" spans="1:15" x14ac:dyDescent="0.25">
      <c r="A818" t="s">
        <v>41</v>
      </c>
      <c r="B818" t="s">
        <v>3273</v>
      </c>
      <c r="C818" s="1">
        <v>29551937000137</v>
      </c>
      <c r="D818" t="s">
        <v>3274</v>
      </c>
      <c r="E818" t="s">
        <v>2926</v>
      </c>
      <c r="F818" t="s">
        <v>4</v>
      </c>
      <c r="G818">
        <v>11060001</v>
      </c>
      <c r="H818" t="s">
        <v>2336</v>
      </c>
      <c r="I818" t="s">
        <v>3275</v>
      </c>
      <c r="J818" t="s">
        <v>46</v>
      </c>
      <c r="K818">
        <v>2</v>
      </c>
      <c r="L818">
        <v>27</v>
      </c>
      <c r="M818">
        <v>2035</v>
      </c>
      <c r="N818" t="s">
        <v>3276</v>
      </c>
      <c r="O818" s="5">
        <f>DATE(Tabela1[[#This Row],[vigencia ano]],Tabela1[[#This Row],[vigencia mês]],Tabela1[[#This Row],[vigencia dia]])</f>
        <v>50101</v>
      </c>
    </row>
    <row r="819" spans="1:15" x14ac:dyDescent="0.25">
      <c r="A819" t="s">
        <v>41</v>
      </c>
      <c r="B819" t="s">
        <v>3277</v>
      </c>
      <c r="C819" s="1">
        <v>16868113000143</v>
      </c>
      <c r="D819" t="s">
        <v>3278</v>
      </c>
      <c r="E819" t="s">
        <v>2926</v>
      </c>
      <c r="F819" t="s">
        <v>4</v>
      </c>
      <c r="G819">
        <v>11015504</v>
      </c>
      <c r="H819" t="s">
        <v>3279</v>
      </c>
      <c r="I819" t="s">
        <v>3280</v>
      </c>
      <c r="J819" t="s">
        <v>56</v>
      </c>
      <c r="K819">
        <v>5</v>
      </c>
      <c r="L819">
        <v>13</v>
      </c>
      <c r="M819">
        <v>2035</v>
      </c>
      <c r="N819" t="s">
        <v>3281</v>
      </c>
      <c r="O819" s="5">
        <f>DATE(Tabela1[[#This Row],[vigencia ano]],Tabela1[[#This Row],[vigencia mês]],Tabela1[[#This Row],[vigencia dia]])</f>
        <v>49679</v>
      </c>
    </row>
    <row r="820" spans="1:15" x14ac:dyDescent="0.25">
      <c r="A820" t="s">
        <v>41</v>
      </c>
      <c r="B820" t="s">
        <v>3282</v>
      </c>
      <c r="C820" s="1">
        <v>47469147000199</v>
      </c>
      <c r="D820" t="s">
        <v>3283</v>
      </c>
      <c r="E820" t="s">
        <v>2926</v>
      </c>
      <c r="F820" t="s">
        <v>4</v>
      </c>
      <c r="G820">
        <v>11060000</v>
      </c>
      <c r="H820" t="s">
        <v>3284</v>
      </c>
      <c r="I820" t="s">
        <v>3285</v>
      </c>
      <c r="J820" t="s">
        <v>56</v>
      </c>
      <c r="K820">
        <v>4</v>
      </c>
      <c r="L820">
        <v>24</v>
      </c>
      <c r="M820">
        <v>2035</v>
      </c>
      <c r="N820" t="s">
        <v>3286</v>
      </c>
      <c r="O820" s="5">
        <f>DATE(Tabela1[[#This Row],[vigencia ano]],Tabela1[[#This Row],[vigencia mês]],Tabela1[[#This Row],[vigencia dia]])</f>
        <v>50013</v>
      </c>
    </row>
    <row r="821" spans="1:15" x14ac:dyDescent="0.25">
      <c r="A821" t="s">
        <v>41</v>
      </c>
      <c r="B821" t="s">
        <v>3287</v>
      </c>
      <c r="C821" s="1">
        <v>36440199000116</v>
      </c>
      <c r="D821" t="s">
        <v>3288</v>
      </c>
      <c r="E821" t="s">
        <v>2926</v>
      </c>
      <c r="F821" t="s">
        <v>4</v>
      </c>
      <c r="G821">
        <v>11015504</v>
      </c>
      <c r="H821" t="s">
        <v>3289</v>
      </c>
      <c r="I821" t="s">
        <v>3290</v>
      </c>
      <c r="J821" t="s">
        <v>56</v>
      </c>
      <c r="K821">
        <v>4</v>
      </c>
      <c r="L821">
        <v>22</v>
      </c>
      <c r="M821">
        <v>2035</v>
      </c>
      <c r="N821" t="s">
        <v>3291</v>
      </c>
      <c r="O821" s="5">
        <f>DATE(Tabela1[[#This Row],[vigencia ano]],Tabela1[[#This Row],[vigencia mês]],Tabela1[[#This Row],[vigencia dia]])</f>
        <v>49952</v>
      </c>
    </row>
    <row r="822" spans="1:15" x14ac:dyDescent="0.25">
      <c r="A822" t="s">
        <v>41</v>
      </c>
      <c r="B822" t="s">
        <v>3292</v>
      </c>
      <c r="C822" s="1">
        <v>16585219000130</v>
      </c>
      <c r="D822" t="s">
        <v>3293</v>
      </c>
      <c r="E822" t="s">
        <v>2926</v>
      </c>
      <c r="F822" t="s">
        <v>4</v>
      </c>
      <c r="G822">
        <v>11015500</v>
      </c>
      <c r="H822" t="s">
        <v>2176</v>
      </c>
      <c r="I822" t="s">
        <v>3294</v>
      </c>
      <c r="J822" t="s">
        <v>56</v>
      </c>
      <c r="K822">
        <v>9</v>
      </c>
      <c r="L822">
        <v>3</v>
      </c>
      <c r="M822">
        <v>2028</v>
      </c>
      <c r="N822" t="s">
        <v>47</v>
      </c>
      <c r="O822" s="5">
        <f>DATE(Tabela1[[#This Row],[vigencia ano]],Tabela1[[#This Row],[vigencia mês]],Tabela1[[#This Row],[vigencia dia]])</f>
        <v>46821</v>
      </c>
    </row>
    <row r="823" spans="1:15" x14ac:dyDescent="0.25">
      <c r="A823" t="s">
        <v>41</v>
      </c>
      <c r="B823" t="s">
        <v>3295</v>
      </c>
      <c r="C823" s="1">
        <v>10674744000145</v>
      </c>
      <c r="D823" t="s">
        <v>3296</v>
      </c>
      <c r="E823" t="s">
        <v>2926</v>
      </c>
      <c r="F823" t="s">
        <v>4</v>
      </c>
      <c r="G823">
        <v>11015030</v>
      </c>
      <c r="H823" t="s">
        <v>3297</v>
      </c>
      <c r="I823" t="s">
        <v>3298</v>
      </c>
      <c r="J823" t="s">
        <v>46</v>
      </c>
      <c r="K823">
        <v>1</v>
      </c>
      <c r="L823">
        <v>11</v>
      </c>
      <c r="M823">
        <v>2027</v>
      </c>
      <c r="N823" t="s">
        <v>47</v>
      </c>
      <c r="O823" s="5">
        <f>DATE(Tabela1[[#This Row],[vigencia ano]],Tabela1[[#This Row],[vigencia mês]],Tabela1[[#This Row],[vigencia dia]])</f>
        <v>46692</v>
      </c>
    </row>
    <row r="824" spans="1:15" x14ac:dyDescent="0.25">
      <c r="A824" t="s">
        <v>41</v>
      </c>
      <c r="B824" t="s">
        <v>3299</v>
      </c>
      <c r="C824" s="1">
        <v>1703312000124</v>
      </c>
      <c r="D824" t="s">
        <v>3300</v>
      </c>
      <c r="E824" t="s">
        <v>3301</v>
      </c>
      <c r="F824" t="s">
        <v>4</v>
      </c>
      <c r="G824">
        <v>9840000</v>
      </c>
      <c r="H824" t="s">
        <v>3302</v>
      </c>
      <c r="I824" t="s">
        <v>3303</v>
      </c>
      <c r="J824" t="s">
        <v>46</v>
      </c>
      <c r="K824">
        <v>4</v>
      </c>
      <c r="L824">
        <v>6</v>
      </c>
      <c r="M824">
        <v>2015</v>
      </c>
      <c r="N824" t="s">
        <v>47</v>
      </c>
      <c r="O824" s="5">
        <f>DATE(Tabela1[[#This Row],[vigencia ano]],Tabela1[[#This Row],[vigencia mês]],Tabela1[[#This Row],[vigencia dia]])</f>
        <v>42159</v>
      </c>
    </row>
    <row r="825" spans="1:15" x14ac:dyDescent="0.25">
      <c r="A825" t="s">
        <v>41</v>
      </c>
      <c r="B825" t="s">
        <v>3304</v>
      </c>
      <c r="C825" s="1">
        <v>3349915000103</v>
      </c>
      <c r="D825" t="s">
        <v>3305</v>
      </c>
      <c r="E825" t="s">
        <v>3301</v>
      </c>
      <c r="F825" t="s">
        <v>4</v>
      </c>
      <c r="G825">
        <v>9750030</v>
      </c>
      <c r="H825" t="s">
        <v>3306</v>
      </c>
      <c r="I825" t="s">
        <v>3307</v>
      </c>
      <c r="J825" t="s">
        <v>56</v>
      </c>
      <c r="K825">
        <v>9</v>
      </c>
      <c r="L825">
        <v>10</v>
      </c>
      <c r="M825">
        <v>2024</v>
      </c>
      <c r="N825" t="s">
        <v>47</v>
      </c>
      <c r="O825" s="5">
        <f>DATE(Tabela1[[#This Row],[vigencia ano]],Tabela1[[#This Row],[vigencia mês]],Tabela1[[#This Row],[vigencia dia]])</f>
        <v>45574</v>
      </c>
    </row>
    <row r="826" spans="1:15" x14ac:dyDescent="0.25">
      <c r="A826" t="s">
        <v>41</v>
      </c>
      <c r="B826" t="s">
        <v>3304</v>
      </c>
      <c r="C826" s="1">
        <v>3349915000103</v>
      </c>
      <c r="D826" t="s">
        <v>3305</v>
      </c>
      <c r="E826" t="s">
        <v>3301</v>
      </c>
      <c r="F826" t="s">
        <v>4</v>
      </c>
      <c r="G826">
        <v>9750030</v>
      </c>
      <c r="H826" t="s">
        <v>3308</v>
      </c>
      <c r="I826" t="s">
        <v>3307</v>
      </c>
      <c r="J826" t="s">
        <v>56</v>
      </c>
      <c r="K826">
        <v>9</v>
      </c>
      <c r="L826">
        <v>10</v>
      </c>
      <c r="M826">
        <v>2024</v>
      </c>
      <c r="N826" t="s">
        <v>47</v>
      </c>
      <c r="O826" s="5">
        <f>DATE(Tabela1[[#This Row],[vigencia ano]],Tabela1[[#This Row],[vigencia mês]],Tabela1[[#This Row],[vigencia dia]])</f>
        <v>45574</v>
      </c>
    </row>
    <row r="827" spans="1:15" x14ac:dyDescent="0.25">
      <c r="A827" t="s">
        <v>41</v>
      </c>
      <c r="B827" t="s">
        <v>3309</v>
      </c>
      <c r="C827" s="1">
        <v>4773469000114</v>
      </c>
      <c r="D827" t="s">
        <v>3310</v>
      </c>
      <c r="E827" t="s">
        <v>3301</v>
      </c>
      <c r="F827" t="s">
        <v>4</v>
      </c>
      <c r="G827">
        <v>9725200</v>
      </c>
      <c r="H827" t="s">
        <v>367</v>
      </c>
      <c r="I827" t="s">
        <v>3311</v>
      </c>
      <c r="J827" t="s">
        <v>56</v>
      </c>
      <c r="K827">
        <v>12</v>
      </c>
      <c r="L827">
        <v>9</v>
      </c>
      <c r="M827">
        <v>2034</v>
      </c>
      <c r="N827" t="s">
        <v>47</v>
      </c>
      <c r="O827" s="5">
        <f>DATE(Tabela1[[#This Row],[vigencia ano]],Tabela1[[#This Row],[vigencia mês]],Tabela1[[#This Row],[vigencia dia]])</f>
        <v>49199</v>
      </c>
    </row>
    <row r="828" spans="1:15" x14ac:dyDescent="0.25">
      <c r="A828" t="s">
        <v>41</v>
      </c>
      <c r="B828" t="s">
        <v>3312</v>
      </c>
      <c r="C828" s="1">
        <v>18368389000198</v>
      </c>
      <c r="D828" t="s">
        <v>3313</v>
      </c>
      <c r="E828" t="s">
        <v>3301</v>
      </c>
      <c r="F828" t="s">
        <v>4</v>
      </c>
      <c r="G828">
        <v>9632050</v>
      </c>
      <c r="H828" t="s">
        <v>3314</v>
      </c>
      <c r="I828" t="s">
        <v>3315</v>
      </c>
      <c r="J828" t="s">
        <v>56</v>
      </c>
      <c r="K828">
        <v>2</v>
      </c>
      <c r="L828">
        <v>7</v>
      </c>
      <c r="M828">
        <v>2032</v>
      </c>
      <c r="N828" t="s">
        <v>47</v>
      </c>
      <c r="O828" s="5">
        <f>DATE(Tabela1[[#This Row],[vigencia ano]],Tabela1[[#This Row],[vigencia mês]],Tabela1[[#This Row],[vigencia dia]])</f>
        <v>48397</v>
      </c>
    </row>
    <row r="829" spans="1:15" x14ac:dyDescent="0.25">
      <c r="A829" t="s">
        <v>41</v>
      </c>
      <c r="B829" t="s">
        <v>3316</v>
      </c>
      <c r="C829" s="1">
        <v>17848915000154</v>
      </c>
      <c r="D829" t="s">
        <v>3317</v>
      </c>
      <c r="E829" t="s">
        <v>3301</v>
      </c>
      <c r="F829" t="s">
        <v>4</v>
      </c>
      <c r="G829">
        <v>9892330</v>
      </c>
      <c r="H829" t="s">
        <v>3318</v>
      </c>
      <c r="I829" t="s">
        <v>3319</v>
      </c>
      <c r="J829" t="s">
        <v>56</v>
      </c>
      <c r="K829">
        <v>8</v>
      </c>
      <c r="L829">
        <v>22</v>
      </c>
      <c r="M829">
        <v>2027</v>
      </c>
      <c r="N829" t="s">
        <v>47</v>
      </c>
      <c r="O829" s="5">
        <f>DATE(Tabela1[[#This Row],[vigencia ano]],Tabela1[[#This Row],[vigencia mês]],Tabela1[[#This Row],[vigencia dia]])</f>
        <v>47034</v>
      </c>
    </row>
    <row r="830" spans="1:15" x14ac:dyDescent="0.25">
      <c r="A830" t="s">
        <v>41</v>
      </c>
      <c r="B830" t="s">
        <v>3320</v>
      </c>
      <c r="C830" s="1">
        <v>17353801000133</v>
      </c>
      <c r="D830" t="s">
        <v>3321</v>
      </c>
      <c r="E830" t="s">
        <v>3301</v>
      </c>
      <c r="F830" t="s">
        <v>4</v>
      </c>
      <c r="G830">
        <v>9750730</v>
      </c>
      <c r="H830" t="s">
        <v>3322</v>
      </c>
      <c r="I830" t="s">
        <v>3323</v>
      </c>
      <c r="J830" t="s">
        <v>56</v>
      </c>
      <c r="K830">
        <v>11</v>
      </c>
      <c r="L830">
        <v>26</v>
      </c>
      <c r="M830">
        <v>2029</v>
      </c>
      <c r="N830" t="s">
        <v>47</v>
      </c>
      <c r="O830" s="5">
        <f>DATE(Tabela1[[#This Row],[vigencia ano]],Tabela1[[#This Row],[vigencia mês]],Tabela1[[#This Row],[vigencia dia]])</f>
        <v>47890</v>
      </c>
    </row>
    <row r="831" spans="1:15" x14ac:dyDescent="0.25">
      <c r="A831" t="s">
        <v>41</v>
      </c>
      <c r="B831" t="s">
        <v>3324</v>
      </c>
      <c r="C831" s="1">
        <v>22507975000143</v>
      </c>
      <c r="D831" t="s">
        <v>3325</v>
      </c>
      <c r="E831" t="s">
        <v>3301</v>
      </c>
      <c r="F831" t="s">
        <v>4</v>
      </c>
      <c r="G831">
        <v>9615000</v>
      </c>
      <c r="I831" t="s">
        <v>3326</v>
      </c>
      <c r="J831" t="s">
        <v>56</v>
      </c>
      <c r="K831">
        <v>7</v>
      </c>
      <c r="L831">
        <v>18</v>
      </c>
      <c r="M831">
        <v>2034</v>
      </c>
      <c r="N831" t="s">
        <v>47</v>
      </c>
      <c r="O831" s="5">
        <f>DATE(Tabela1[[#This Row],[vigencia ano]],Tabela1[[#This Row],[vigencia mês]],Tabela1[[#This Row],[vigencia dia]])</f>
        <v>49467</v>
      </c>
    </row>
    <row r="832" spans="1:15" x14ac:dyDescent="0.25">
      <c r="A832" t="s">
        <v>41</v>
      </c>
      <c r="B832" t="s">
        <v>3327</v>
      </c>
      <c r="C832" s="1">
        <v>2351144000118</v>
      </c>
      <c r="D832" t="s">
        <v>3328</v>
      </c>
      <c r="E832" t="s">
        <v>3301</v>
      </c>
      <c r="F832" t="s">
        <v>4</v>
      </c>
      <c r="G832">
        <v>9820655</v>
      </c>
      <c r="H832" t="s">
        <v>3329</v>
      </c>
      <c r="I832" t="s">
        <v>3330</v>
      </c>
      <c r="J832" t="s">
        <v>46</v>
      </c>
      <c r="K832">
        <v>8</v>
      </c>
      <c r="L832">
        <v>3</v>
      </c>
      <c r="M832">
        <v>2030</v>
      </c>
      <c r="N832" t="s">
        <v>47</v>
      </c>
      <c r="O832" s="5">
        <f>DATE(Tabela1[[#This Row],[vigencia ano]],Tabela1[[#This Row],[vigencia mês]],Tabela1[[#This Row],[vigencia dia]])</f>
        <v>47550</v>
      </c>
    </row>
    <row r="833" spans="1:15" x14ac:dyDescent="0.25">
      <c r="A833" t="s">
        <v>41</v>
      </c>
      <c r="B833" t="s">
        <v>3331</v>
      </c>
      <c r="C833" s="1">
        <v>2767766000121</v>
      </c>
      <c r="D833" t="s">
        <v>3332</v>
      </c>
      <c r="E833" t="s">
        <v>3301</v>
      </c>
      <c r="F833" t="s">
        <v>4</v>
      </c>
      <c r="G833">
        <v>9892250</v>
      </c>
      <c r="H833" t="s">
        <v>3333</v>
      </c>
      <c r="I833" t="s">
        <v>3334</v>
      </c>
      <c r="J833" t="s">
        <v>56</v>
      </c>
      <c r="K833">
        <v>8</v>
      </c>
      <c r="L833">
        <v>13</v>
      </c>
      <c r="M833">
        <v>2028</v>
      </c>
      <c r="N833" t="s">
        <v>47</v>
      </c>
      <c r="O833" s="5">
        <f>DATE(Tabela1[[#This Row],[vigencia ano]],Tabela1[[#This Row],[vigencia mês]],Tabela1[[#This Row],[vigencia dia]])</f>
        <v>47126</v>
      </c>
    </row>
    <row r="834" spans="1:15" x14ac:dyDescent="0.25">
      <c r="A834" t="s">
        <v>41</v>
      </c>
      <c r="B834" t="s">
        <v>3335</v>
      </c>
      <c r="C834" s="1">
        <v>44384832000100</v>
      </c>
      <c r="D834" t="s">
        <v>3336</v>
      </c>
      <c r="E834" t="s">
        <v>3301</v>
      </c>
      <c r="F834" t="s">
        <v>4</v>
      </c>
      <c r="G834">
        <v>9810900</v>
      </c>
      <c r="H834" t="s">
        <v>3337</v>
      </c>
      <c r="I834" t="s">
        <v>3338</v>
      </c>
      <c r="J834" t="s">
        <v>46</v>
      </c>
      <c r="K834">
        <v>6</v>
      </c>
      <c r="L834">
        <v>22</v>
      </c>
      <c r="M834">
        <v>2015</v>
      </c>
      <c r="N834" t="s">
        <v>47</v>
      </c>
      <c r="O834" s="5">
        <f>DATE(Tabela1[[#This Row],[vigencia ano]],Tabela1[[#This Row],[vigencia mês]],Tabela1[[#This Row],[vigencia dia]])</f>
        <v>42649</v>
      </c>
    </row>
    <row r="835" spans="1:15" x14ac:dyDescent="0.25">
      <c r="A835" t="s">
        <v>41</v>
      </c>
      <c r="B835" t="s">
        <v>3339</v>
      </c>
      <c r="C835" s="1">
        <v>44384832000124</v>
      </c>
      <c r="D835" t="s">
        <v>3340</v>
      </c>
      <c r="E835" t="s">
        <v>3301</v>
      </c>
      <c r="F835" t="s">
        <v>4</v>
      </c>
      <c r="G835">
        <v>9810900</v>
      </c>
      <c r="H835" t="s">
        <v>3341</v>
      </c>
      <c r="I835" t="s">
        <v>3342</v>
      </c>
      <c r="J835" t="s">
        <v>56</v>
      </c>
      <c r="K835">
        <v>9</v>
      </c>
      <c r="L835">
        <v>29</v>
      </c>
      <c r="M835">
        <v>2032</v>
      </c>
      <c r="N835" t="s">
        <v>47</v>
      </c>
      <c r="O835" s="5">
        <f>DATE(Tabela1[[#This Row],[vigencia ano]],Tabela1[[#This Row],[vigencia mês]],Tabela1[[#This Row],[vigencia dia]])</f>
        <v>49073</v>
      </c>
    </row>
    <row r="836" spans="1:15" x14ac:dyDescent="0.25">
      <c r="A836" t="s">
        <v>41</v>
      </c>
      <c r="B836" t="s">
        <v>3343</v>
      </c>
      <c r="C836" s="1">
        <v>19199348000188</v>
      </c>
      <c r="D836" t="s">
        <v>3344</v>
      </c>
      <c r="E836" t="s">
        <v>3301</v>
      </c>
      <c r="F836" t="s">
        <v>4</v>
      </c>
      <c r="G836">
        <v>9850550</v>
      </c>
      <c r="H836" t="s">
        <v>3345</v>
      </c>
      <c r="I836" t="s">
        <v>3346</v>
      </c>
      <c r="J836" t="s">
        <v>46</v>
      </c>
      <c r="K836">
        <v>11</v>
      </c>
      <c r="L836">
        <v>6</v>
      </c>
      <c r="M836">
        <v>2034</v>
      </c>
      <c r="N836" t="s">
        <v>47</v>
      </c>
      <c r="O836" s="5">
        <f>DATE(Tabela1[[#This Row],[vigencia ano]],Tabela1[[#This Row],[vigencia mês]],Tabela1[[#This Row],[vigencia dia]])</f>
        <v>49106</v>
      </c>
    </row>
    <row r="837" spans="1:15" x14ac:dyDescent="0.25">
      <c r="A837" t="s">
        <v>41</v>
      </c>
      <c r="B837" t="s">
        <v>3343</v>
      </c>
      <c r="C837" s="1">
        <v>19199348000188</v>
      </c>
      <c r="D837" t="s">
        <v>3344</v>
      </c>
      <c r="E837" t="s">
        <v>3301</v>
      </c>
      <c r="F837" t="s">
        <v>4</v>
      </c>
      <c r="G837">
        <v>9850550</v>
      </c>
      <c r="H837" t="s">
        <v>3347</v>
      </c>
      <c r="I837" t="s">
        <v>3346</v>
      </c>
      <c r="J837" t="s">
        <v>46</v>
      </c>
      <c r="K837">
        <v>11</v>
      </c>
      <c r="L837">
        <v>6</v>
      </c>
      <c r="M837">
        <v>2034</v>
      </c>
      <c r="N837" t="s">
        <v>47</v>
      </c>
      <c r="O837" s="5">
        <f>DATE(Tabela1[[#This Row],[vigencia ano]],Tabela1[[#This Row],[vigencia mês]],Tabela1[[#This Row],[vigencia dia]])</f>
        <v>49106</v>
      </c>
    </row>
    <row r="838" spans="1:15" x14ac:dyDescent="0.25">
      <c r="A838" t="s">
        <v>41</v>
      </c>
      <c r="B838" t="s">
        <v>3348</v>
      </c>
      <c r="C838" s="1">
        <v>67599878000166</v>
      </c>
      <c r="D838" t="s">
        <v>3349</v>
      </c>
      <c r="E838" t="s">
        <v>3301</v>
      </c>
      <c r="F838" t="s">
        <v>4</v>
      </c>
      <c r="G838">
        <v>9820000</v>
      </c>
      <c r="H838" t="s">
        <v>3350</v>
      </c>
      <c r="I838" t="s">
        <v>3351</v>
      </c>
      <c r="J838" t="s">
        <v>46</v>
      </c>
      <c r="K838">
        <v>8</v>
      </c>
      <c r="L838">
        <v>23</v>
      </c>
      <c r="M838">
        <v>2029</v>
      </c>
      <c r="N838" t="s">
        <v>47</v>
      </c>
      <c r="O838" s="5">
        <f>DATE(Tabela1[[#This Row],[vigencia ano]],Tabela1[[#This Row],[vigencia mês]],Tabela1[[#This Row],[vigencia dia]])</f>
        <v>47795</v>
      </c>
    </row>
    <row r="839" spans="1:15" x14ac:dyDescent="0.25">
      <c r="A839" t="s">
        <v>41</v>
      </c>
      <c r="B839" t="s">
        <v>3352</v>
      </c>
      <c r="C839" s="1">
        <v>4045101000130</v>
      </c>
      <c r="D839" t="s">
        <v>3353</v>
      </c>
      <c r="E839" t="s">
        <v>3301</v>
      </c>
      <c r="F839" t="s">
        <v>4</v>
      </c>
      <c r="G839">
        <v>9635010</v>
      </c>
      <c r="H839" t="s">
        <v>3354</v>
      </c>
      <c r="I839" t="s">
        <v>3355</v>
      </c>
      <c r="J839" t="s">
        <v>56</v>
      </c>
      <c r="K839">
        <v>5</v>
      </c>
      <c r="L839">
        <v>22</v>
      </c>
      <c r="M839">
        <v>2024</v>
      </c>
      <c r="N839" t="s">
        <v>47</v>
      </c>
      <c r="O839" s="5">
        <f>DATE(Tabela1[[#This Row],[vigencia ano]],Tabela1[[#This Row],[vigencia mês]],Tabela1[[#This Row],[vigencia dia]])</f>
        <v>45935</v>
      </c>
    </row>
    <row r="840" spans="1:15" x14ac:dyDescent="0.25">
      <c r="A840" t="s">
        <v>41</v>
      </c>
      <c r="B840" t="s">
        <v>3356</v>
      </c>
      <c r="C840" s="1">
        <v>21613553000190</v>
      </c>
      <c r="D840" t="s">
        <v>3357</v>
      </c>
      <c r="E840" t="s">
        <v>3301</v>
      </c>
      <c r="F840" t="s">
        <v>4</v>
      </c>
      <c r="G840">
        <v>9842000</v>
      </c>
      <c r="H840" t="s">
        <v>3358</v>
      </c>
      <c r="I840" t="s">
        <v>3359</v>
      </c>
      <c r="J840" t="s">
        <v>56</v>
      </c>
      <c r="K840">
        <v>4</v>
      </c>
      <c r="L840">
        <v>4</v>
      </c>
      <c r="M840">
        <v>2028</v>
      </c>
      <c r="N840" t="s">
        <v>47</v>
      </c>
      <c r="O840" s="5">
        <f>DATE(Tabela1[[#This Row],[vigencia ano]],Tabela1[[#This Row],[vigencia mês]],Tabela1[[#This Row],[vigencia dia]])</f>
        <v>46847</v>
      </c>
    </row>
    <row r="841" spans="1:15" x14ac:dyDescent="0.25">
      <c r="A841" t="s">
        <v>41</v>
      </c>
      <c r="B841" t="s">
        <v>3360</v>
      </c>
      <c r="C841" s="1">
        <v>22677138000162</v>
      </c>
      <c r="D841" t="s">
        <v>3361</v>
      </c>
      <c r="E841" t="s">
        <v>3362</v>
      </c>
      <c r="F841" t="s">
        <v>4</v>
      </c>
      <c r="G841">
        <v>9531195</v>
      </c>
      <c r="H841" t="s">
        <v>3363</v>
      </c>
      <c r="I841" t="s">
        <v>3364</v>
      </c>
      <c r="J841" t="s">
        <v>56</v>
      </c>
      <c r="K841">
        <v>6</v>
      </c>
      <c r="L841">
        <v>19</v>
      </c>
      <c r="M841">
        <v>2034</v>
      </c>
      <c r="N841" t="s">
        <v>47</v>
      </c>
      <c r="O841" s="5">
        <f>DATE(Tabela1[[#This Row],[vigencia ano]],Tabela1[[#This Row],[vigencia mês]],Tabela1[[#This Row],[vigencia dia]])</f>
        <v>49496</v>
      </c>
    </row>
    <row r="842" spans="1:15" x14ac:dyDescent="0.25">
      <c r="A842" t="s">
        <v>41</v>
      </c>
      <c r="B842" t="s">
        <v>3365</v>
      </c>
      <c r="C842" s="1">
        <v>66764457000180</v>
      </c>
      <c r="D842" t="s">
        <v>3366</v>
      </c>
      <c r="E842" t="s">
        <v>3362</v>
      </c>
      <c r="F842" t="s">
        <v>4</v>
      </c>
      <c r="G842">
        <v>9530000</v>
      </c>
      <c r="H842" t="s">
        <v>3367</v>
      </c>
      <c r="I842" t="s">
        <v>3368</v>
      </c>
      <c r="J842" t="s">
        <v>56</v>
      </c>
      <c r="K842">
        <v>12</v>
      </c>
      <c r="L842">
        <v>24</v>
      </c>
      <c r="M842">
        <v>2031</v>
      </c>
      <c r="N842" t="s">
        <v>47</v>
      </c>
      <c r="O842" s="5">
        <f>DATE(Tabela1[[#This Row],[vigencia ano]],Tabela1[[#This Row],[vigencia mês]],Tabela1[[#This Row],[vigencia dia]])</f>
        <v>48560</v>
      </c>
    </row>
    <row r="843" spans="1:15" x14ac:dyDescent="0.25">
      <c r="A843" t="s">
        <v>41</v>
      </c>
      <c r="B843" t="s">
        <v>3369</v>
      </c>
      <c r="C843" s="1">
        <v>9296130000198</v>
      </c>
      <c r="D843" t="s">
        <v>3370</v>
      </c>
      <c r="E843" t="s">
        <v>3362</v>
      </c>
      <c r="F843" t="s">
        <v>4</v>
      </c>
      <c r="G843">
        <v>9521140</v>
      </c>
      <c r="H843" t="s">
        <v>3371</v>
      </c>
      <c r="I843" t="s">
        <v>3372</v>
      </c>
      <c r="J843" t="s">
        <v>56</v>
      </c>
      <c r="K843">
        <v>5</v>
      </c>
      <c r="L843">
        <v>23</v>
      </c>
      <c r="M843">
        <v>2032</v>
      </c>
      <c r="N843" t="s">
        <v>47</v>
      </c>
      <c r="O843" s="5">
        <f>DATE(Tabela1[[#This Row],[vigencia ano]],Tabela1[[#This Row],[vigencia mês]],Tabela1[[#This Row],[vigencia dia]])</f>
        <v>48888</v>
      </c>
    </row>
    <row r="844" spans="1:15" x14ac:dyDescent="0.25">
      <c r="A844" t="s">
        <v>41</v>
      </c>
      <c r="B844" t="s">
        <v>3373</v>
      </c>
      <c r="C844" s="1">
        <v>24108379000116</v>
      </c>
      <c r="D844" t="s">
        <v>3374</v>
      </c>
      <c r="E844" t="s">
        <v>3362</v>
      </c>
      <c r="F844" t="s">
        <v>4</v>
      </c>
      <c r="G844">
        <v>9541250</v>
      </c>
      <c r="H844" t="s">
        <v>3375</v>
      </c>
      <c r="I844" t="s">
        <v>3376</v>
      </c>
      <c r="J844" t="s">
        <v>56</v>
      </c>
      <c r="K844">
        <v>8</v>
      </c>
      <c r="L844">
        <v>18</v>
      </c>
      <c r="M844">
        <v>2026</v>
      </c>
      <c r="N844" t="s">
        <v>47</v>
      </c>
      <c r="O844" s="5">
        <f>DATE(Tabela1[[#This Row],[vigencia ano]],Tabela1[[#This Row],[vigencia mês]],Tabela1[[#This Row],[vigencia dia]])</f>
        <v>46546</v>
      </c>
    </row>
    <row r="845" spans="1:15" x14ac:dyDescent="0.25">
      <c r="A845" t="s">
        <v>41</v>
      </c>
      <c r="B845" t="s">
        <v>3377</v>
      </c>
      <c r="C845" s="1">
        <v>5397031000141</v>
      </c>
      <c r="D845" t="s">
        <v>3378</v>
      </c>
      <c r="E845" t="s">
        <v>3379</v>
      </c>
      <c r="F845" t="s">
        <v>4</v>
      </c>
      <c r="G845">
        <v>15057430</v>
      </c>
      <c r="H845" t="s">
        <v>3380</v>
      </c>
      <c r="I845" t="s">
        <v>3381</v>
      </c>
      <c r="J845" t="s">
        <v>56</v>
      </c>
      <c r="K845">
        <v>9</v>
      </c>
      <c r="L845">
        <v>21</v>
      </c>
      <c r="M845">
        <v>2030</v>
      </c>
      <c r="N845" t="s">
        <v>47</v>
      </c>
      <c r="O845" s="5">
        <f>DATE(Tabela1[[#This Row],[vigencia ano]],Tabela1[[#This Row],[vigencia mês]],Tabela1[[#This Row],[vigencia dia]])</f>
        <v>48100</v>
      </c>
    </row>
    <row r="846" spans="1:15" x14ac:dyDescent="0.25">
      <c r="A846" t="s">
        <v>41</v>
      </c>
      <c r="B846" t="s">
        <v>3382</v>
      </c>
      <c r="C846" s="1">
        <v>29473259000131</v>
      </c>
      <c r="D846" t="s">
        <v>3383</v>
      </c>
      <c r="E846" t="s">
        <v>3384</v>
      </c>
      <c r="F846" t="s">
        <v>4</v>
      </c>
      <c r="G846">
        <v>12246021</v>
      </c>
      <c r="H846" t="s">
        <v>3385</v>
      </c>
      <c r="I846" t="s">
        <v>3386</v>
      </c>
      <c r="J846" t="s">
        <v>56</v>
      </c>
      <c r="K846">
        <v>4</v>
      </c>
      <c r="L846">
        <v>20</v>
      </c>
      <c r="M846">
        <v>2032</v>
      </c>
      <c r="N846" t="s">
        <v>47</v>
      </c>
      <c r="O846" s="5">
        <f>DATE(Tabela1[[#This Row],[vigencia ano]],Tabela1[[#This Row],[vigencia mês]],Tabela1[[#This Row],[vigencia dia]])</f>
        <v>48795</v>
      </c>
    </row>
    <row r="847" spans="1:15" x14ac:dyDescent="0.25">
      <c r="A847" t="s">
        <v>41</v>
      </c>
      <c r="B847" t="s">
        <v>3387</v>
      </c>
      <c r="C847" s="1">
        <v>10466633000143</v>
      </c>
      <c r="D847" t="s">
        <v>3388</v>
      </c>
      <c r="E847" t="s">
        <v>3384</v>
      </c>
      <c r="F847" t="s">
        <v>4</v>
      </c>
      <c r="G847">
        <v>12238577</v>
      </c>
      <c r="H847" t="s">
        <v>108</v>
      </c>
      <c r="I847" t="s">
        <v>3389</v>
      </c>
      <c r="J847" t="s">
        <v>56</v>
      </c>
      <c r="K847">
        <v>11</v>
      </c>
      <c r="L847">
        <v>8</v>
      </c>
      <c r="M847">
        <v>2029</v>
      </c>
      <c r="N847" t="s">
        <v>47</v>
      </c>
      <c r="O847" s="5">
        <f>DATE(Tabela1[[#This Row],[vigencia ano]],Tabela1[[#This Row],[vigencia mês]],Tabela1[[#This Row],[vigencia dia]])</f>
        <v>47341</v>
      </c>
    </row>
    <row r="848" spans="1:15" x14ac:dyDescent="0.25">
      <c r="A848" t="s">
        <v>41</v>
      </c>
      <c r="B848" t="s">
        <v>3390</v>
      </c>
      <c r="C848" s="1">
        <v>9303268000177</v>
      </c>
      <c r="D848" t="s">
        <v>3391</v>
      </c>
      <c r="E848" t="s">
        <v>3384</v>
      </c>
      <c r="F848" t="s">
        <v>4</v>
      </c>
      <c r="G848">
        <v>12238578</v>
      </c>
      <c r="H848" t="s">
        <v>108</v>
      </c>
      <c r="I848" t="s">
        <v>3392</v>
      </c>
      <c r="J848" t="s">
        <v>56</v>
      </c>
      <c r="K848">
        <v>11</v>
      </c>
      <c r="L848">
        <v>6</v>
      </c>
      <c r="M848">
        <v>2029</v>
      </c>
      <c r="N848" t="s">
        <v>47</v>
      </c>
      <c r="O848" s="5">
        <f>DATE(Tabela1[[#This Row],[vigencia ano]],Tabela1[[#This Row],[vigencia mês]],Tabela1[[#This Row],[vigencia dia]])</f>
        <v>47280</v>
      </c>
    </row>
    <row r="849" spans="1:15" x14ac:dyDescent="0.25">
      <c r="A849" t="s">
        <v>41</v>
      </c>
      <c r="B849" t="s">
        <v>3393</v>
      </c>
      <c r="C849" s="1">
        <v>2113305000135</v>
      </c>
      <c r="D849" t="s">
        <v>3394</v>
      </c>
      <c r="E849" t="s">
        <v>3384</v>
      </c>
      <c r="F849" t="s">
        <v>4</v>
      </c>
      <c r="G849">
        <v>12238365</v>
      </c>
      <c r="H849" t="s">
        <v>3395</v>
      </c>
      <c r="I849" t="s">
        <v>3396</v>
      </c>
      <c r="J849" t="s">
        <v>56</v>
      </c>
      <c r="K849">
        <v>10</v>
      </c>
      <c r="L849">
        <v>13</v>
      </c>
      <c r="M849">
        <v>2015</v>
      </c>
      <c r="N849" t="s">
        <v>47</v>
      </c>
      <c r="O849" s="5">
        <f>DATE(Tabela1[[#This Row],[vigencia ano]],Tabela1[[#This Row],[vigencia mês]],Tabela1[[#This Row],[vigencia dia]])</f>
        <v>42379</v>
      </c>
    </row>
    <row r="850" spans="1:15" x14ac:dyDescent="0.25">
      <c r="A850" t="s">
        <v>41</v>
      </c>
      <c r="B850" t="s">
        <v>3397</v>
      </c>
      <c r="C850" s="1">
        <v>29652717000108</v>
      </c>
      <c r="D850" t="s">
        <v>3398</v>
      </c>
      <c r="E850" t="s">
        <v>3399</v>
      </c>
      <c r="F850" t="s">
        <v>4</v>
      </c>
      <c r="G850">
        <v>5047002</v>
      </c>
      <c r="H850" t="s">
        <v>3400</v>
      </c>
      <c r="I850" t="s">
        <v>3401</v>
      </c>
      <c r="J850" t="s">
        <v>56</v>
      </c>
      <c r="K850">
        <v>9</v>
      </c>
      <c r="L850">
        <v>21</v>
      </c>
      <c r="M850">
        <v>2030</v>
      </c>
      <c r="N850" t="s">
        <v>47</v>
      </c>
      <c r="O850" s="5">
        <f>DATE(Tabela1[[#This Row],[vigencia ano]],Tabela1[[#This Row],[vigencia mês]],Tabela1[[#This Row],[vigencia dia]])</f>
        <v>48100</v>
      </c>
    </row>
    <row r="851" spans="1:15" x14ac:dyDescent="0.25">
      <c r="A851" t="s">
        <v>41</v>
      </c>
      <c r="B851" t="s">
        <v>3402</v>
      </c>
      <c r="C851" s="1">
        <v>28689596000106</v>
      </c>
      <c r="D851" t="s">
        <v>3403</v>
      </c>
      <c r="E851" t="s">
        <v>3399</v>
      </c>
      <c r="F851" t="s">
        <v>4</v>
      </c>
      <c r="G851">
        <v>1311000</v>
      </c>
      <c r="H851" t="s">
        <v>3404</v>
      </c>
      <c r="I851" t="s">
        <v>3405</v>
      </c>
      <c r="J851" t="s">
        <v>46</v>
      </c>
      <c r="K851">
        <v>7</v>
      </c>
      <c r="L851">
        <v>10</v>
      </c>
      <c r="M851">
        <v>2028</v>
      </c>
      <c r="N851" t="s">
        <v>47</v>
      </c>
      <c r="O851" s="5">
        <f>DATE(Tabela1[[#This Row],[vigencia ano]],Tabela1[[#This Row],[vigencia mês]],Tabela1[[#This Row],[vigencia dia]])</f>
        <v>47033</v>
      </c>
    </row>
    <row r="852" spans="1:15" x14ac:dyDescent="0.25">
      <c r="A852" t="s">
        <v>41</v>
      </c>
      <c r="B852" t="s">
        <v>3406</v>
      </c>
      <c r="C852" s="1">
        <v>65849838000108</v>
      </c>
      <c r="D852" t="s">
        <v>3407</v>
      </c>
      <c r="E852" t="s">
        <v>3399</v>
      </c>
      <c r="F852" t="s">
        <v>4</v>
      </c>
      <c r="G852">
        <v>4578000</v>
      </c>
      <c r="H852" t="s">
        <v>3408</v>
      </c>
      <c r="I852" t="s">
        <v>3409</v>
      </c>
      <c r="J852" t="s">
        <v>56</v>
      </c>
      <c r="K852">
        <v>3</v>
      </c>
      <c r="L852">
        <v>22</v>
      </c>
      <c r="M852">
        <v>2026</v>
      </c>
      <c r="N852" t="s">
        <v>47</v>
      </c>
      <c r="O852" s="5">
        <f>DATE(Tabela1[[#This Row],[vigencia ano]],Tabela1[[#This Row],[vigencia mês]],Tabela1[[#This Row],[vigencia dia]])</f>
        <v>46663</v>
      </c>
    </row>
    <row r="853" spans="1:15" x14ac:dyDescent="0.25">
      <c r="A853" t="s">
        <v>41</v>
      </c>
      <c r="B853" t="s">
        <v>3410</v>
      </c>
      <c r="C853" s="1">
        <v>74357757000173</v>
      </c>
      <c r="D853" t="s">
        <v>3411</v>
      </c>
      <c r="E853" t="s">
        <v>3399</v>
      </c>
      <c r="F853" t="s">
        <v>4</v>
      </c>
      <c r="G853">
        <v>4120050</v>
      </c>
      <c r="H853" t="s">
        <v>3412</v>
      </c>
      <c r="I853" t="s">
        <v>3413</v>
      </c>
      <c r="J853" t="s">
        <v>46</v>
      </c>
      <c r="K853">
        <v>8</v>
      </c>
      <c r="L853">
        <v>4</v>
      </c>
      <c r="M853">
        <v>2019</v>
      </c>
      <c r="N853" t="s">
        <v>47</v>
      </c>
      <c r="O853" s="5">
        <f>DATE(Tabela1[[#This Row],[vigencia ano]],Tabela1[[#This Row],[vigencia mês]],Tabela1[[#This Row],[vigencia dia]])</f>
        <v>43563</v>
      </c>
    </row>
    <row r="854" spans="1:15" x14ac:dyDescent="0.25">
      <c r="A854" t="s">
        <v>41</v>
      </c>
      <c r="B854" t="s">
        <v>3414</v>
      </c>
      <c r="C854" s="1">
        <v>33692342000179</v>
      </c>
      <c r="D854" t="s">
        <v>3415</v>
      </c>
      <c r="E854" t="s">
        <v>3399</v>
      </c>
      <c r="F854" t="s">
        <v>4</v>
      </c>
      <c r="G854">
        <v>1533000</v>
      </c>
      <c r="H854" t="s">
        <v>3416</v>
      </c>
      <c r="I854" t="s">
        <v>3417</v>
      </c>
      <c r="J854" t="s">
        <v>56</v>
      </c>
      <c r="K854">
        <v>1</v>
      </c>
      <c r="L854">
        <v>15</v>
      </c>
      <c r="M854">
        <v>2034</v>
      </c>
      <c r="N854" t="s">
        <v>47</v>
      </c>
      <c r="O854" s="5">
        <f>DATE(Tabela1[[#This Row],[vigencia ano]],Tabela1[[#This Row],[vigencia mês]],Tabela1[[#This Row],[vigencia dia]])</f>
        <v>49369</v>
      </c>
    </row>
    <row r="855" spans="1:15" x14ac:dyDescent="0.25">
      <c r="A855" t="s">
        <v>41</v>
      </c>
      <c r="B855" t="s">
        <v>3418</v>
      </c>
      <c r="C855" s="1">
        <v>8205713000101</v>
      </c>
      <c r="D855" t="s">
        <v>3419</v>
      </c>
      <c r="E855" t="s">
        <v>3399</v>
      </c>
      <c r="F855" t="s">
        <v>4</v>
      </c>
      <c r="G855">
        <v>1140030</v>
      </c>
      <c r="H855" t="s">
        <v>2398</v>
      </c>
      <c r="I855" t="s">
        <v>3420</v>
      </c>
      <c r="J855" t="s">
        <v>56</v>
      </c>
      <c r="K855">
        <v>9</v>
      </c>
      <c r="L855">
        <v>10</v>
      </c>
      <c r="M855">
        <v>2025</v>
      </c>
      <c r="N855" t="s">
        <v>47</v>
      </c>
      <c r="O855" s="5">
        <f>DATE(Tabela1[[#This Row],[vigencia ano]],Tabela1[[#This Row],[vigencia mês]],Tabela1[[#This Row],[vigencia dia]])</f>
        <v>45939</v>
      </c>
    </row>
    <row r="856" spans="1:15" x14ac:dyDescent="0.25">
      <c r="A856" t="s">
        <v>41</v>
      </c>
      <c r="B856" t="s">
        <v>3421</v>
      </c>
      <c r="C856" s="1">
        <v>51595908000126</v>
      </c>
      <c r="D856" t="s">
        <v>3422</v>
      </c>
      <c r="E856" t="s">
        <v>3399</v>
      </c>
      <c r="F856" t="s">
        <v>4</v>
      </c>
      <c r="G856">
        <v>1325010</v>
      </c>
      <c r="H856" t="s">
        <v>3423</v>
      </c>
      <c r="I856" t="s">
        <v>3424</v>
      </c>
      <c r="J856" t="s">
        <v>56</v>
      </c>
      <c r="K856">
        <v>9</v>
      </c>
      <c r="L856">
        <v>21</v>
      </c>
      <c r="M856">
        <v>2028</v>
      </c>
      <c r="N856" t="s">
        <v>47</v>
      </c>
      <c r="O856" s="5">
        <f>DATE(Tabela1[[#This Row],[vigencia ano]],Tabela1[[#This Row],[vigencia mês]],Tabela1[[#This Row],[vigencia dia]])</f>
        <v>47370</v>
      </c>
    </row>
    <row r="857" spans="1:15" x14ac:dyDescent="0.25">
      <c r="A857" t="s">
        <v>41</v>
      </c>
      <c r="B857" t="s">
        <v>3425</v>
      </c>
      <c r="C857" s="1">
        <v>7725533000180</v>
      </c>
      <c r="D857" t="s">
        <v>3426</v>
      </c>
      <c r="E857" t="s">
        <v>3399</v>
      </c>
      <c r="F857" t="s">
        <v>4</v>
      </c>
      <c r="G857">
        <v>3127050</v>
      </c>
      <c r="H857" t="s">
        <v>3427</v>
      </c>
      <c r="I857" t="s">
        <v>3428</v>
      </c>
      <c r="J857" t="s">
        <v>56</v>
      </c>
      <c r="K857">
        <v>5</v>
      </c>
      <c r="L857">
        <v>2</v>
      </c>
      <c r="M857">
        <v>2022</v>
      </c>
      <c r="N857" t="s">
        <v>47</v>
      </c>
      <c r="O857" s="5">
        <f>DATE(Tabela1[[#This Row],[vigencia ano]],Tabela1[[#This Row],[vigencia mês]],Tabela1[[#This Row],[vigencia dia]])</f>
        <v>44597</v>
      </c>
    </row>
    <row r="858" spans="1:15" x14ac:dyDescent="0.25">
      <c r="A858" t="s">
        <v>41</v>
      </c>
      <c r="B858" t="s">
        <v>3429</v>
      </c>
      <c r="C858" s="1">
        <v>56277197000165</v>
      </c>
      <c r="D858" t="s">
        <v>3430</v>
      </c>
      <c r="E858" t="s">
        <v>3399</v>
      </c>
      <c r="F858" t="s">
        <v>4</v>
      </c>
      <c r="G858">
        <v>1246080</v>
      </c>
      <c r="H858" t="s">
        <v>3431</v>
      </c>
      <c r="I858" t="s">
        <v>3432</v>
      </c>
      <c r="J858" t="s">
        <v>46</v>
      </c>
      <c r="K858">
        <v>7</v>
      </c>
      <c r="L858">
        <v>28</v>
      </c>
      <c r="M858">
        <v>2030</v>
      </c>
      <c r="N858" t="s">
        <v>47</v>
      </c>
      <c r="O858" s="5">
        <f>DATE(Tabela1[[#This Row],[vigencia ano]],Tabela1[[#This Row],[vigencia mês]],Tabela1[[#This Row],[vigencia dia]])</f>
        <v>48311</v>
      </c>
    </row>
    <row r="859" spans="1:15" x14ac:dyDescent="0.25">
      <c r="A859" t="s">
        <v>41</v>
      </c>
      <c r="B859" t="s">
        <v>3433</v>
      </c>
      <c r="C859" s="1">
        <v>4658184000132</v>
      </c>
      <c r="D859" t="s">
        <v>3434</v>
      </c>
      <c r="E859" t="s">
        <v>3399</v>
      </c>
      <c r="F859" t="s">
        <v>4</v>
      </c>
      <c r="G859">
        <v>1310913</v>
      </c>
      <c r="H859" t="s">
        <v>3435</v>
      </c>
      <c r="I859" t="s">
        <v>3436</v>
      </c>
      <c r="J859" t="s">
        <v>46</v>
      </c>
      <c r="K859">
        <v>5</v>
      </c>
      <c r="L859">
        <v>10</v>
      </c>
      <c r="M859">
        <v>2020</v>
      </c>
      <c r="N859" t="s">
        <v>47</v>
      </c>
      <c r="O859" s="5">
        <f>DATE(Tabela1[[#This Row],[vigencia ano]],Tabela1[[#This Row],[vigencia mês]],Tabela1[[#This Row],[vigencia dia]])</f>
        <v>44109</v>
      </c>
    </row>
    <row r="860" spans="1:15" x14ac:dyDescent="0.25">
      <c r="A860" t="s">
        <v>41</v>
      </c>
      <c r="B860" t="s">
        <v>3433</v>
      </c>
      <c r="C860" s="1">
        <v>4658184000132</v>
      </c>
      <c r="D860" t="s">
        <v>3434</v>
      </c>
      <c r="E860" t="s">
        <v>3399</v>
      </c>
      <c r="F860" t="s">
        <v>4</v>
      </c>
      <c r="G860">
        <v>1310913</v>
      </c>
      <c r="H860" t="s">
        <v>3437</v>
      </c>
      <c r="I860" t="s">
        <v>3436</v>
      </c>
      <c r="J860" t="s">
        <v>46</v>
      </c>
      <c r="K860">
        <v>5</v>
      </c>
      <c r="L860">
        <v>10</v>
      </c>
      <c r="M860">
        <v>2020</v>
      </c>
      <c r="N860" t="s">
        <v>47</v>
      </c>
      <c r="O860" s="5">
        <f>DATE(Tabela1[[#This Row],[vigencia ano]],Tabela1[[#This Row],[vigencia mês]],Tabela1[[#This Row],[vigencia dia]])</f>
        <v>44109</v>
      </c>
    </row>
    <row r="861" spans="1:15" x14ac:dyDescent="0.25">
      <c r="A861" t="s">
        <v>41</v>
      </c>
      <c r="B861" t="s">
        <v>3438</v>
      </c>
      <c r="C861" s="1">
        <v>9077252000193</v>
      </c>
      <c r="D861" t="s">
        <v>3439</v>
      </c>
      <c r="E861" t="s">
        <v>3399</v>
      </c>
      <c r="F861" t="s">
        <v>4</v>
      </c>
      <c r="G861">
        <v>4551010</v>
      </c>
      <c r="H861" t="s">
        <v>3440</v>
      </c>
      <c r="I861" t="s">
        <v>3441</v>
      </c>
      <c r="J861" t="s">
        <v>56</v>
      </c>
      <c r="K861">
        <v>7</v>
      </c>
      <c r="L861">
        <v>16</v>
      </c>
      <c r="M861">
        <v>2022</v>
      </c>
      <c r="N861" t="s">
        <v>47</v>
      </c>
      <c r="O861" s="5">
        <f>DATE(Tabela1[[#This Row],[vigencia ano]],Tabela1[[#This Row],[vigencia mês]],Tabela1[[#This Row],[vigencia dia]])</f>
        <v>45023</v>
      </c>
    </row>
    <row r="862" spans="1:15" x14ac:dyDescent="0.25">
      <c r="A862" t="s">
        <v>41</v>
      </c>
      <c r="B862" t="s">
        <v>3442</v>
      </c>
      <c r="C862" s="1">
        <v>49009424000106</v>
      </c>
      <c r="D862" t="s">
        <v>3443</v>
      </c>
      <c r="E862" t="s">
        <v>3399</v>
      </c>
      <c r="F862" t="s">
        <v>4</v>
      </c>
      <c r="G862">
        <v>4578000</v>
      </c>
      <c r="H862" t="s">
        <v>3444</v>
      </c>
      <c r="I862" t="s">
        <v>3445</v>
      </c>
      <c r="J862" t="s">
        <v>56</v>
      </c>
      <c r="K862">
        <v>5</v>
      </c>
      <c r="L862">
        <v>19</v>
      </c>
      <c r="M862">
        <v>2033</v>
      </c>
      <c r="N862" t="s">
        <v>47</v>
      </c>
      <c r="O862" s="5">
        <f>DATE(Tabela1[[#This Row],[vigencia ano]],Tabela1[[#This Row],[vigencia mês]],Tabela1[[#This Row],[vigencia dia]])</f>
        <v>49130</v>
      </c>
    </row>
    <row r="863" spans="1:15" x14ac:dyDescent="0.25">
      <c r="A863" t="s">
        <v>41</v>
      </c>
      <c r="B863" t="s">
        <v>3446</v>
      </c>
      <c r="C863" s="1">
        <v>59460592000177</v>
      </c>
      <c r="D863" t="s">
        <v>3447</v>
      </c>
      <c r="E863" t="s">
        <v>3399</v>
      </c>
      <c r="F863" t="s">
        <v>4</v>
      </c>
      <c r="G863">
        <v>9750660</v>
      </c>
      <c r="H863" t="s">
        <v>3448</v>
      </c>
      <c r="I863" t="s">
        <v>3449</v>
      </c>
      <c r="J863" t="s">
        <v>56</v>
      </c>
      <c r="K863">
        <v>6</v>
      </c>
      <c r="L863">
        <v>20</v>
      </c>
      <c r="M863">
        <v>2024</v>
      </c>
      <c r="N863" t="s">
        <v>47</v>
      </c>
      <c r="O863" s="5">
        <f>DATE(Tabela1[[#This Row],[vigencia ano]],Tabela1[[#This Row],[vigencia mês]],Tabela1[[#This Row],[vigencia dia]])</f>
        <v>45875</v>
      </c>
    </row>
    <row r="864" spans="1:15" x14ac:dyDescent="0.25">
      <c r="A864" t="s">
        <v>41</v>
      </c>
      <c r="B864" t="s">
        <v>3450</v>
      </c>
      <c r="C864" s="1">
        <v>53611828000142</v>
      </c>
      <c r="D864" t="s">
        <v>3451</v>
      </c>
      <c r="E864" t="s">
        <v>3399</v>
      </c>
      <c r="F864" t="s">
        <v>4</v>
      </c>
      <c r="G864">
        <v>4077020</v>
      </c>
      <c r="H864" t="s">
        <v>3452</v>
      </c>
      <c r="I864" t="s">
        <v>3453</v>
      </c>
      <c r="J864" t="s">
        <v>46</v>
      </c>
      <c r="K864">
        <v>5</v>
      </c>
      <c r="L864">
        <v>12</v>
      </c>
      <c r="M864">
        <v>2035</v>
      </c>
      <c r="N864" t="s">
        <v>3454</v>
      </c>
      <c r="O864" s="5">
        <f>DATE(Tabela1[[#This Row],[vigencia ano]],Tabela1[[#This Row],[vigencia mês]],Tabela1[[#This Row],[vigencia dia]])</f>
        <v>49648</v>
      </c>
    </row>
    <row r="865" spans="1:15" x14ac:dyDescent="0.25">
      <c r="A865" t="s">
        <v>41</v>
      </c>
      <c r="B865" t="s">
        <v>3450</v>
      </c>
      <c r="C865" s="1">
        <v>53611828000142</v>
      </c>
      <c r="D865" t="s">
        <v>3451</v>
      </c>
      <c r="E865" t="s">
        <v>3399</v>
      </c>
      <c r="F865" t="s">
        <v>4</v>
      </c>
      <c r="G865">
        <v>4077020</v>
      </c>
      <c r="H865" t="s">
        <v>3455</v>
      </c>
      <c r="I865" t="s">
        <v>3453</v>
      </c>
      <c r="J865" t="s">
        <v>46</v>
      </c>
      <c r="K865">
        <v>5</v>
      </c>
      <c r="L865">
        <v>12</v>
      </c>
      <c r="M865">
        <v>2035</v>
      </c>
      <c r="N865" t="s">
        <v>3454</v>
      </c>
      <c r="O865" s="5">
        <f>DATE(Tabela1[[#This Row],[vigencia ano]],Tabela1[[#This Row],[vigencia mês]],Tabela1[[#This Row],[vigencia dia]])</f>
        <v>49648</v>
      </c>
    </row>
    <row r="866" spans="1:15" x14ac:dyDescent="0.25">
      <c r="A866" t="s">
        <v>41</v>
      </c>
      <c r="B866" t="s">
        <v>3450</v>
      </c>
      <c r="C866" s="1">
        <v>53611828000142</v>
      </c>
      <c r="D866" t="s">
        <v>3451</v>
      </c>
      <c r="E866" t="s">
        <v>3399</v>
      </c>
      <c r="F866" t="s">
        <v>4</v>
      </c>
      <c r="G866">
        <v>4077020</v>
      </c>
      <c r="H866" t="s">
        <v>3456</v>
      </c>
      <c r="I866" t="s">
        <v>3453</v>
      </c>
      <c r="J866" t="s">
        <v>46</v>
      </c>
      <c r="K866">
        <v>5</v>
      </c>
      <c r="L866">
        <v>12</v>
      </c>
      <c r="M866">
        <v>2035</v>
      </c>
      <c r="N866" t="s">
        <v>3454</v>
      </c>
      <c r="O866" s="5">
        <f>DATE(Tabela1[[#This Row],[vigencia ano]],Tabela1[[#This Row],[vigencia mês]],Tabela1[[#This Row],[vigencia dia]])</f>
        <v>49648</v>
      </c>
    </row>
    <row r="867" spans="1:15" x14ac:dyDescent="0.25">
      <c r="A867" t="s">
        <v>41</v>
      </c>
      <c r="B867" t="s">
        <v>3457</v>
      </c>
      <c r="C867" s="1">
        <v>5556159000372</v>
      </c>
      <c r="D867" t="s">
        <v>3458</v>
      </c>
      <c r="E867" t="s">
        <v>3399</v>
      </c>
      <c r="F867" t="s">
        <v>4</v>
      </c>
      <c r="G867">
        <v>4342001</v>
      </c>
      <c r="H867" t="s">
        <v>243</v>
      </c>
      <c r="I867" t="s">
        <v>3459</v>
      </c>
      <c r="J867" t="s">
        <v>56</v>
      </c>
      <c r="K867">
        <v>2</v>
      </c>
      <c r="L867">
        <v>21</v>
      </c>
      <c r="M867">
        <v>2032</v>
      </c>
      <c r="N867" t="s">
        <v>47</v>
      </c>
      <c r="O867" s="5">
        <f>DATE(Tabela1[[#This Row],[vigencia ano]],Tabela1[[#This Row],[vigencia mês]],Tabela1[[#This Row],[vigencia dia]])</f>
        <v>48824</v>
      </c>
    </row>
    <row r="868" spans="1:15" x14ac:dyDescent="0.25">
      <c r="A868" t="s">
        <v>41</v>
      </c>
      <c r="B868" t="s">
        <v>3460</v>
      </c>
      <c r="C868" s="1">
        <v>9352852000112</v>
      </c>
      <c r="D868" t="s">
        <v>3461</v>
      </c>
      <c r="E868" t="s">
        <v>3399</v>
      </c>
      <c r="F868" t="s">
        <v>4</v>
      </c>
      <c r="G868">
        <v>3040040</v>
      </c>
      <c r="H868" t="s">
        <v>3462</v>
      </c>
      <c r="I868" t="s">
        <v>3463</v>
      </c>
      <c r="J868" t="s">
        <v>56</v>
      </c>
      <c r="K868">
        <v>8</v>
      </c>
      <c r="L868">
        <v>27</v>
      </c>
      <c r="M868">
        <v>2029</v>
      </c>
      <c r="N868" t="s">
        <v>47</v>
      </c>
      <c r="O868" s="5">
        <f>DATE(Tabela1[[#This Row],[vigencia ano]],Tabela1[[#This Row],[vigencia mês]],Tabela1[[#This Row],[vigencia dia]])</f>
        <v>47915</v>
      </c>
    </row>
    <row r="869" spans="1:15" x14ac:dyDescent="0.25">
      <c r="A869" t="s">
        <v>41</v>
      </c>
      <c r="B869" t="s">
        <v>3464</v>
      </c>
      <c r="C869" s="1">
        <v>4409228000190</v>
      </c>
      <c r="D869" t="s">
        <v>3465</v>
      </c>
      <c r="E869" t="s">
        <v>3399</v>
      </c>
      <c r="F869" t="s">
        <v>4</v>
      </c>
      <c r="G869">
        <v>4776002</v>
      </c>
      <c r="H869" t="s">
        <v>3466</v>
      </c>
      <c r="I869" t="s">
        <v>3467</v>
      </c>
      <c r="J869" t="s">
        <v>56</v>
      </c>
      <c r="K869">
        <v>6</v>
      </c>
      <c r="L869">
        <v>27</v>
      </c>
      <c r="M869">
        <v>2032</v>
      </c>
      <c r="N869" t="s">
        <v>47</v>
      </c>
      <c r="O869" s="5">
        <f>DATE(Tabela1[[#This Row],[vigencia ano]],Tabela1[[#This Row],[vigencia mês]],Tabela1[[#This Row],[vigencia dia]])</f>
        <v>49009</v>
      </c>
    </row>
    <row r="870" spans="1:15" x14ac:dyDescent="0.25">
      <c r="A870" t="s">
        <v>41</v>
      </c>
      <c r="B870" t="s">
        <v>3468</v>
      </c>
      <c r="C870" s="1">
        <v>19080345000120</v>
      </c>
      <c r="D870" t="s">
        <v>3469</v>
      </c>
      <c r="E870" t="s">
        <v>3399</v>
      </c>
      <c r="F870" t="s">
        <v>4</v>
      </c>
      <c r="G870">
        <v>4776002</v>
      </c>
      <c r="H870" t="s">
        <v>3466</v>
      </c>
      <c r="I870" t="s">
        <v>3470</v>
      </c>
      <c r="J870" t="s">
        <v>56</v>
      </c>
      <c r="K870">
        <v>6</v>
      </c>
      <c r="L870">
        <v>27</v>
      </c>
      <c r="M870">
        <v>2032</v>
      </c>
      <c r="N870" t="s">
        <v>47</v>
      </c>
      <c r="O870" s="5">
        <f>DATE(Tabela1[[#This Row],[vigencia ano]],Tabela1[[#This Row],[vigencia mês]],Tabela1[[#This Row],[vigencia dia]])</f>
        <v>49009</v>
      </c>
    </row>
    <row r="871" spans="1:15" x14ac:dyDescent="0.25">
      <c r="A871" t="s">
        <v>41</v>
      </c>
      <c r="B871" t="s">
        <v>3471</v>
      </c>
      <c r="C871" s="1">
        <v>62227509000129</v>
      </c>
      <c r="D871" t="s">
        <v>3472</v>
      </c>
      <c r="E871" t="s">
        <v>3399</v>
      </c>
      <c r="F871" t="s">
        <v>4</v>
      </c>
      <c r="G871">
        <v>5402400</v>
      </c>
      <c r="H871" t="s">
        <v>3473</v>
      </c>
      <c r="I871" t="s">
        <v>3474</v>
      </c>
      <c r="J871" t="s">
        <v>56</v>
      </c>
      <c r="K871">
        <v>10</v>
      </c>
      <c r="L871">
        <v>7</v>
      </c>
      <c r="M871">
        <v>2029</v>
      </c>
      <c r="N871" t="s">
        <v>47</v>
      </c>
      <c r="O871" s="5">
        <f>DATE(Tabela1[[#This Row],[vigencia ano]],Tabela1[[#This Row],[vigencia mês]],Tabela1[[#This Row],[vigencia dia]])</f>
        <v>47309</v>
      </c>
    </row>
    <row r="872" spans="1:15" x14ac:dyDescent="0.25">
      <c r="A872" t="s">
        <v>41</v>
      </c>
      <c r="B872" t="s">
        <v>3471</v>
      </c>
      <c r="C872" s="1">
        <v>62227509000129</v>
      </c>
      <c r="D872" t="s">
        <v>3472</v>
      </c>
      <c r="E872" t="s">
        <v>3399</v>
      </c>
      <c r="F872" t="s">
        <v>4</v>
      </c>
      <c r="G872">
        <v>5402400</v>
      </c>
      <c r="H872" t="s">
        <v>3475</v>
      </c>
      <c r="I872" t="s">
        <v>3474</v>
      </c>
      <c r="J872" t="s">
        <v>56</v>
      </c>
      <c r="K872">
        <v>10</v>
      </c>
      <c r="L872">
        <v>7</v>
      </c>
      <c r="M872">
        <v>2029</v>
      </c>
      <c r="N872" t="s">
        <v>47</v>
      </c>
      <c r="O872" s="5">
        <f>DATE(Tabela1[[#This Row],[vigencia ano]],Tabela1[[#This Row],[vigencia mês]],Tabela1[[#This Row],[vigencia dia]])</f>
        <v>47309</v>
      </c>
    </row>
    <row r="873" spans="1:15" x14ac:dyDescent="0.25">
      <c r="A873" t="s">
        <v>41</v>
      </c>
      <c r="B873" t="s">
        <v>3476</v>
      </c>
      <c r="C873" s="1">
        <v>19138649000100</v>
      </c>
      <c r="D873" t="s">
        <v>3477</v>
      </c>
      <c r="E873" t="s">
        <v>3399</v>
      </c>
      <c r="F873" t="s">
        <v>4</v>
      </c>
      <c r="G873">
        <v>2522090</v>
      </c>
      <c r="H873" t="s">
        <v>3478</v>
      </c>
      <c r="I873" t="s">
        <v>3479</v>
      </c>
      <c r="J873" t="s">
        <v>56</v>
      </c>
      <c r="K873">
        <v>12</v>
      </c>
      <c r="L873">
        <v>1</v>
      </c>
      <c r="M873">
        <v>2026</v>
      </c>
      <c r="N873" t="s">
        <v>47</v>
      </c>
      <c r="O873" s="5">
        <f>DATE(Tabela1[[#This Row],[vigencia ano]],Tabela1[[#This Row],[vigencia mês]],Tabela1[[#This Row],[vigencia dia]])</f>
        <v>46034</v>
      </c>
    </row>
    <row r="874" spans="1:15" x14ac:dyDescent="0.25">
      <c r="A874" t="s">
        <v>41</v>
      </c>
      <c r="B874" t="s">
        <v>3480</v>
      </c>
      <c r="C874" s="1">
        <v>23661517000127</v>
      </c>
      <c r="D874" t="s">
        <v>3481</v>
      </c>
      <c r="E874" t="s">
        <v>3399</v>
      </c>
      <c r="F874" t="s">
        <v>4</v>
      </c>
      <c r="G874">
        <v>1535010</v>
      </c>
      <c r="H874" t="s">
        <v>3482</v>
      </c>
      <c r="I874" t="s">
        <v>3483</v>
      </c>
      <c r="J874" t="s">
        <v>56</v>
      </c>
      <c r="K874">
        <v>4</v>
      </c>
      <c r="L874">
        <v>4</v>
      </c>
      <c r="M874">
        <v>2026</v>
      </c>
      <c r="N874" t="s">
        <v>47</v>
      </c>
      <c r="O874" s="5">
        <f>DATE(Tabela1[[#This Row],[vigencia ano]],Tabela1[[#This Row],[vigencia mês]],Tabela1[[#This Row],[vigencia dia]])</f>
        <v>46116</v>
      </c>
    </row>
    <row r="875" spans="1:15" x14ac:dyDescent="0.25">
      <c r="A875" t="s">
        <v>41</v>
      </c>
      <c r="B875" t="s">
        <v>3484</v>
      </c>
      <c r="C875" s="1">
        <v>12525609000163</v>
      </c>
      <c r="D875" t="s">
        <v>3485</v>
      </c>
      <c r="E875" t="s">
        <v>3399</v>
      </c>
      <c r="F875" t="s">
        <v>4</v>
      </c>
      <c r="G875">
        <v>4635021</v>
      </c>
      <c r="H875" t="s">
        <v>3486</v>
      </c>
      <c r="I875" t="s">
        <v>3487</v>
      </c>
      <c r="J875" t="s">
        <v>56</v>
      </c>
      <c r="K875">
        <v>3</v>
      </c>
      <c r="L875">
        <v>29</v>
      </c>
      <c r="M875">
        <v>2028</v>
      </c>
      <c r="N875" t="s">
        <v>47</v>
      </c>
      <c r="O875" s="5">
        <f>DATE(Tabela1[[#This Row],[vigencia ano]],Tabela1[[#This Row],[vigencia mês]],Tabela1[[#This Row],[vigencia dia]])</f>
        <v>47606</v>
      </c>
    </row>
    <row r="876" spans="1:15" x14ac:dyDescent="0.25">
      <c r="A876" t="s">
        <v>41</v>
      </c>
      <c r="B876" t="s">
        <v>3484</v>
      </c>
      <c r="C876" s="1">
        <v>12525609000163</v>
      </c>
      <c r="D876" t="s">
        <v>3485</v>
      </c>
      <c r="E876" t="s">
        <v>3399</v>
      </c>
      <c r="F876" t="s">
        <v>4</v>
      </c>
      <c r="G876">
        <v>4635021</v>
      </c>
      <c r="H876" t="s">
        <v>3488</v>
      </c>
      <c r="I876" t="s">
        <v>3487</v>
      </c>
      <c r="J876" t="s">
        <v>56</v>
      </c>
      <c r="K876">
        <v>3</v>
      </c>
      <c r="L876">
        <v>29</v>
      </c>
      <c r="M876">
        <v>2028</v>
      </c>
      <c r="N876" t="s">
        <v>47</v>
      </c>
      <c r="O876" s="5">
        <f>DATE(Tabela1[[#This Row],[vigencia ano]],Tabela1[[#This Row],[vigencia mês]],Tabela1[[#This Row],[vigencia dia]])</f>
        <v>47606</v>
      </c>
    </row>
    <row r="877" spans="1:15" x14ac:dyDescent="0.25">
      <c r="A877" t="s">
        <v>41</v>
      </c>
      <c r="B877" t="s">
        <v>3489</v>
      </c>
      <c r="C877" s="1">
        <v>24197753000105</v>
      </c>
      <c r="D877" t="s">
        <v>3490</v>
      </c>
      <c r="E877" t="s">
        <v>3399</v>
      </c>
      <c r="F877" t="s">
        <v>4</v>
      </c>
      <c r="G877">
        <v>4753040</v>
      </c>
      <c r="H877" t="s">
        <v>3491</v>
      </c>
      <c r="I877" t="s">
        <v>3492</v>
      </c>
      <c r="J877" t="s">
        <v>56</v>
      </c>
      <c r="K877">
        <v>10</v>
      </c>
      <c r="L877">
        <v>22</v>
      </c>
      <c r="M877">
        <v>2031</v>
      </c>
      <c r="N877" t="s">
        <v>47</v>
      </c>
      <c r="O877" s="5">
        <f>DATE(Tabela1[[#This Row],[vigencia ano]],Tabela1[[#This Row],[vigencia mês]],Tabela1[[#This Row],[vigencia dia]])</f>
        <v>48497</v>
      </c>
    </row>
    <row r="878" spans="1:15" x14ac:dyDescent="0.25">
      <c r="A878" t="s">
        <v>41</v>
      </c>
      <c r="B878" t="s">
        <v>3493</v>
      </c>
      <c r="C878" s="1">
        <v>45541539000196</v>
      </c>
      <c r="D878" t="s">
        <v>3494</v>
      </c>
      <c r="E878" t="s">
        <v>3399</v>
      </c>
      <c r="F878" t="s">
        <v>4</v>
      </c>
      <c r="G878">
        <v>4617001</v>
      </c>
      <c r="H878" t="s">
        <v>3495</v>
      </c>
      <c r="I878" t="s">
        <v>3496</v>
      </c>
      <c r="J878" t="s">
        <v>56</v>
      </c>
      <c r="K878">
        <v>10</v>
      </c>
      <c r="L878">
        <v>3</v>
      </c>
      <c r="M878">
        <v>2035</v>
      </c>
      <c r="N878" t="s">
        <v>3497</v>
      </c>
      <c r="O878" s="5">
        <f>DATE(Tabela1[[#This Row],[vigencia ano]],Tabela1[[#This Row],[vigencia mês]],Tabela1[[#This Row],[vigencia dia]])</f>
        <v>49378</v>
      </c>
    </row>
    <row r="879" spans="1:15" x14ac:dyDescent="0.25">
      <c r="A879" t="s">
        <v>41</v>
      </c>
      <c r="B879" t="s">
        <v>3493</v>
      </c>
      <c r="C879" s="1">
        <v>45541539000196</v>
      </c>
      <c r="D879" t="s">
        <v>3494</v>
      </c>
      <c r="E879" t="s">
        <v>3399</v>
      </c>
      <c r="F879" t="s">
        <v>4</v>
      </c>
      <c r="G879">
        <v>4617001</v>
      </c>
      <c r="H879" t="s">
        <v>3498</v>
      </c>
      <c r="I879" t="s">
        <v>3496</v>
      </c>
      <c r="J879" t="s">
        <v>56</v>
      </c>
      <c r="K879">
        <v>10</v>
      </c>
      <c r="L879">
        <v>3</v>
      </c>
      <c r="M879">
        <v>2035</v>
      </c>
      <c r="N879" t="s">
        <v>3497</v>
      </c>
      <c r="O879" s="5">
        <f>DATE(Tabela1[[#This Row],[vigencia ano]],Tabela1[[#This Row],[vigencia mês]],Tabela1[[#This Row],[vigencia dia]])</f>
        <v>49378</v>
      </c>
    </row>
    <row r="880" spans="1:15" x14ac:dyDescent="0.25">
      <c r="A880" t="s">
        <v>41</v>
      </c>
      <c r="B880" t="s">
        <v>3499</v>
      </c>
      <c r="C880" s="1">
        <v>5336613000118</v>
      </c>
      <c r="D880" t="s">
        <v>3500</v>
      </c>
      <c r="E880" t="s">
        <v>3399</v>
      </c>
      <c r="F880" t="s">
        <v>4</v>
      </c>
      <c r="G880">
        <v>6803447</v>
      </c>
      <c r="H880" t="s">
        <v>3501</v>
      </c>
      <c r="I880" t="s">
        <v>3502</v>
      </c>
      <c r="J880" t="s">
        <v>56</v>
      </c>
      <c r="K880">
        <v>7</v>
      </c>
      <c r="L880">
        <v>17</v>
      </c>
      <c r="M880">
        <v>2030</v>
      </c>
      <c r="N880" t="s">
        <v>47</v>
      </c>
      <c r="O880" s="5">
        <f>DATE(Tabela1[[#This Row],[vigencia ano]],Tabela1[[#This Row],[vigencia mês]],Tabela1[[#This Row],[vigencia dia]])</f>
        <v>47975</v>
      </c>
    </row>
    <row r="881" spans="1:15" x14ac:dyDescent="0.25">
      <c r="A881" t="s">
        <v>41</v>
      </c>
      <c r="B881" t="s">
        <v>3503</v>
      </c>
      <c r="C881" s="1">
        <v>16613243000135</v>
      </c>
      <c r="D881" t="s">
        <v>3504</v>
      </c>
      <c r="E881" t="s">
        <v>3399</v>
      </c>
      <c r="F881" t="s">
        <v>4</v>
      </c>
      <c r="G881">
        <v>1011000</v>
      </c>
      <c r="H881" t="s">
        <v>3505</v>
      </c>
      <c r="I881" t="s">
        <v>3506</v>
      </c>
      <c r="J881" t="s">
        <v>56</v>
      </c>
      <c r="K881">
        <v>7</v>
      </c>
      <c r="L881">
        <v>8</v>
      </c>
      <c r="M881">
        <v>2023</v>
      </c>
      <c r="N881" t="s">
        <v>47</v>
      </c>
      <c r="O881" s="5">
        <f>DATE(Tabela1[[#This Row],[vigencia ano]],Tabela1[[#This Row],[vigencia mês]],Tabela1[[#This Row],[vigencia dia]])</f>
        <v>45145</v>
      </c>
    </row>
    <row r="882" spans="1:15" x14ac:dyDescent="0.25">
      <c r="A882" t="s">
        <v>41</v>
      </c>
      <c r="B882" t="s">
        <v>3507</v>
      </c>
      <c r="C882" s="1">
        <v>3051284000133</v>
      </c>
      <c r="D882" t="s">
        <v>3508</v>
      </c>
      <c r="E882" t="s">
        <v>3399</v>
      </c>
      <c r="F882" t="s">
        <v>4</v>
      </c>
      <c r="G882">
        <v>4020050</v>
      </c>
      <c r="H882" t="s">
        <v>3509</v>
      </c>
      <c r="I882" t="s">
        <v>3510</v>
      </c>
      <c r="J882" t="s">
        <v>56</v>
      </c>
      <c r="K882">
        <v>8</v>
      </c>
      <c r="L882">
        <v>28</v>
      </c>
      <c r="M882">
        <v>2019</v>
      </c>
      <c r="N882" t="s">
        <v>47</v>
      </c>
      <c r="O882" s="5">
        <f>DATE(Tabela1[[#This Row],[vigencia ano]],Tabela1[[#This Row],[vigencia mês]],Tabela1[[#This Row],[vigencia dia]])</f>
        <v>44294</v>
      </c>
    </row>
    <row r="883" spans="1:15" x14ac:dyDescent="0.25">
      <c r="A883" t="s">
        <v>41</v>
      </c>
      <c r="B883" t="s">
        <v>3507</v>
      </c>
      <c r="C883" s="1">
        <v>3051284000133</v>
      </c>
      <c r="D883" t="s">
        <v>3508</v>
      </c>
      <c r="E883" t="s">
        <v>3399</v>
      </c>
      <c r="F883" t="s">
        <v>4</v>
      </c>
      <c r="G883">
        <v>4020050</v>
      </c>
      <c r="H883" t="s">
        <v>3511</v>
      </c>
      <c r="I883" t="s">
        <v>3510</v>
      </c>
      <c r="J883" t="s">
        <v>56</v>
      </c>
      <c r="K883">
        <v>8</v>
      </c>
      <c r="L883">
        <v>28</v>
      </c>
      <c r="M883">
        <v>2019</v>
      </c>
      <c r="N883" t="s">
        <v>47</v>
      </c>
      <c r="O883" s="5">
        <f>DATE(Tabela1[[#This Row],[vigencia ano]],Tabela1[[#This Row],[vigencia mês]],Tabela1[[#This Row],[vigencia dia]])</f>
        <v>44294</v>
      </c>
    </row>
    <row r="884" spans="1:15" x14ac:dyDescent="0.25">
      <c r="A884" t="s">
        <v>41</v>
      </c>
      <c r="B884" t="s">
        <v>3512</v>
      </c>
      <c r="C884" s="1">
        <v>24217653000195</v>
      </c>
      <c r="D884" t="s">
        <v>3513</v>
      </c>
      <c r="E884" t="s">
        <v>3399</v>
      </c>
      <c r="F884" t="s">
        <v>4</v>
      </c>
      <c r="G884">
        <v>5307000</v>
      </c>
      <c r="H884" t="s">
        <v>3514</v>
      </c>
      <c r="I884" t="s">
        <v>3515</v>
      </c>
      <c r="J884" t="s">
        <v>56</v>
      </c>
      <c r="K884">
        <v>9</v>
      </c>
      <c r="L884">
        <v>12</v>
      </c>
      <c r="M884">
        <v>2028</v>
      </c>
      <c r="N884" t="s">
        <v>47</v>
      </c>
      <c r="O884" s="5">
        <f>DATE(Tabela1[[#This Row],[vigencia ano]],Tabela1[[#This Row],[vigencia mês]],Tabela1[[#This Row],[vigencia dia]])</f>
        <v>47096</v>
      </c>
    </row>
    <row r="885" spans="1:15" x14ac:dyDescent="0.25">
      <c r="A885" t="s">
        <v>41</v>
      </c>
      <c r="B885" t="s">
        <v>3516</v>
      </c>
      <c r="C885" s="1">
        <v>8882133000140</v>
      </c>
      <c r="D885" t="s">
        <v>3517</v>
      </c>
      <c r="E885" t="s">
        <v>3399</v>
      </c>
      <c r="F885" t="s">
        <v>4</v>
      </c>
      <c r="G885">
        <v>4089014</v>
      </c>
      <c r="H885" t="s">
        <v>3518</v>
      </c>
      <c r="I885" t="s">
        <v>3519</v>
      </c>
      <c r="J885" t="s">
        <v>56</v>
      </c>
      <c r="K885">
        <v>9</v>
      </c>
      <c r="L885">
        <v>5</v>
      </c>
      <c r="M885">
        <v>2029</v>
      </c>
      <c r="N885" t="s">
        <v>47</v>
      </c>
      <c r="O885" s="5">
        <f>DATE(Tabela1[[#This Row],[vigencia ano]],Tabela1[[#This Row],[vigencia mês]],Tabela1[[#This Row],[vigencia dia]])</f>
        <v>47247</v>
      </c>
    </row>
    <row r="886" spans="1:15" x14ac:dyDescent="0.25">
      <c r="A886" t="s">
        <v>41</v>
      </c>
      <c r="B886" t="s">
        <v>3520</v>
      </c>
      <c r="C886" s="1">
        <v>42581413000157</v>
      </c>
      <c r="D886" t="s">
        <v>3521</v>
      </c>
      <c r="E886" t="s">
        <v>3399</v>
      </c>
      <c r="F886" t="s">
        <v>4</v>
      </c>
      <c r="G886">
        <v>4794000</v>
      </c>
      <c r="H886" t="s">
        <v>218</v>
      </c>
      <c r="I886" t="s">
        <v>3522</v>
      </c>
      <c r="J886" t="s">
        <v>46</v>
      </c>
      <c r="K886">
        <v>3</v>
      </c>
      <c r="L886">
        <v>21</v>
      </c>
      <c r="M886">
        <v>2035</v>
      </c>
      <c r="N886" t="s">
        <v>3523</v>
      </c>
      <c r="O886" s="5">
        <f>DATE(Tabela1[[#This Row],[vigencia ano]],Tabela1[[#This Row],[vigencia mês]],Tabela1[[#This Row],[vigencia dia]])</f>
        <v>49921</v>
      </c>
    </row>
    <row r="887" spans="1:15" x14ac:dyDescent="0.25">
      <c r="A887" t="s">
        <v>41</v>
      </c>
      <c r="B887" t="s">
        <v>3524</v>
      </c>
      <c r="C887" s="1">
        <v>33813452000141</v>
      </c>
      <c r="D887" t="s">
        <v>3525</v>
      </c>
      <c r="E887" t="s">
        <v>3399</v>
      </c>
      <c r="F887" t="s">
        <v>4</v>
      </c>
      <c r="G887">
        <v>4543011</v>
      </c>
      <c r="H887" t="s">
        <v>3526</v>
      </c>
      <c r="I887" t="s">
        <v>3527</v>
      </c>
      <c r="J887" t="s">
        <v>46</v>
      </c>
      <c r="K887">
        <v>10</v>
      </c>
      <c r="L887">
        <v>25</v>
      </c>
      <c r="M887">
        <v>2015</v>
      </c>
      <c r="N887" t="s">
        <v>47</v>
      </c>
      <c r="O887" s="5">
        <f>DATE(Tabela1[[#This Row],[vigencia ano]],Tabela1[[#This Row],[vigencia mês]],Tabela1[[#This Row],[vigencia dia]])</f>
        <v>42745</v>
      </c>
    </row>
    <row r="888" spans="1:15" x14ac:dyDescent="0.25">
      <c r="A888" t="s">
        <v>41</v>
      </c>
      <c r="B888" t="s">
        <v>3528</v>
      </c>
      <c r="C888" s="1">
        <v>58317751000116</v>
      </c>
      <c r="D888" t="s">
        <v>3529</v>
      </c>
      <c r="E888" t="s">
        <v>3399</v>
      </c>
      <c r="F888" t="s">
        <v>4</v>
      </c>
      <c r="G888">
        <v>5001903</v>
      </c>
      <c r="H888" t="s">
        <v>3530</v>
      </c>
      <c r="I888" t="s">
        <v>3531</v>
      </c>
      <c r="J888" t="s">
        <v>46</v>
      </c>
      <c r="K888">
        <v>7</v>
      </c>
      <c r="L888">
        <v>23</v>
      </c>
      <c r="M888">
        <v>2024</v>
      </c>
      <c r="N888" t="s">
        <v>47</v>
      </c>
      <c r="O888" s="5">
        <f>DATE(Tabela1[[#This Row],[vigencia ano]],Tabela1[[#This Row],[vigencia mês]],Tabela1[[#This Row],[vigencia dia]])</f>
        <v>45968</v>
      </c>
    </row>
    <row r="889" spans="1:15" x14ac:dyDescent="0.25">
      <c r="A889" t="s">
        <v>41</v>
      </c>
      <c r="B889" t="s">
        <v>3532</v>
      </c>
      <c r="C889" s="1">
        <v>9538756000163</v>
      </c>
      <c r="D889" t="s">
        <v>3533</v>
      </c>
      <c r="E889" t="s">
        <v>3399</v>
      </c>
      <c r="F889" t="s">
        <v>4</v>
      </c>
      <c r="G889">
        <v>2167050</v>
      </c>
      <c r="H889" t="s">
        <v>3534</v>
      </c>
      <c r="I889" t="s">
        <v>3535</v>
      </c>
      <c r="J889" t="s">
        <v>56</v>
      </c>
      <c r="K889">
        <v>6</v>
      </c>
      <c r="L889">
        <v>17</v>
      </c>
      <c r="M889">
        <v>2029</v>
      </c>
      <c r="N889" t="s">
        <v>47</v>
      </c>
      <c r="O889" s="5">
        <f>DATE(Tabela1[[#This Row],[vigencia ano]],Tabela1[[#This Row],[vigencia mês]],Tabela1[[#This Row],[vigencia dia]])</f>
        <v>47609</v>
      </c>
    </row>
    <row r="890" spans="1:15" x14ac:dyDescent="0.25">
      <c r="A890" t="s">
        <v>41</v>
      </c>
      <c r="B890" t="s">
        <v>3536</v>
      </c>
      <c r="C890" s="1">
        <v>69070092000182</v>
      </c>
      <c r="D890" t="s">
        <v>3537</v>
      </c>
      <c r="E890" t="s">
        <v>3399</v>
      </c>
      <c r="F890" t="s">
        <v>4</v>
      </c>
      <c r="G890">
        <v>1311000</v>
      </c>
      <c r="H890" t="s">
        <v>3538</v>
      </c>
      <c r="I890" t="s">
        <v>3539</v>
      </c>
      <c r="J890" t="s">
        <v>46</v>
      </c>
      <c r="K890">
        <v>12</v>
      </c>
      <c r="L890">
        <v>28</v>
      </c>
      <c r="M890">
        <v>2015</v>
      </c>
      <c r="N890" t="s">
        <v>47</v>
      </c>
      <c r="O890" s="5">
        <f>DATE(Tabela1[[#This Row],[vigencia ano]],Tabela1[[#This Row],[vigencia mês]],Tabela1[[#This Row],[vigencia dia]])</f>
        <v>42837</v>
      </c>
    </row>
    <row r="891" spans="1:15" x14ac:dyDescent="0.25">
      <c r="A891" t="s">
        <v>41</v>
      </c>
      <c r="B891" t="s">
        <v>3540</v>
      </c>
      <c r="C891" s="1">
        <v>8333099000155</v>
      </c>
      <c r="D891" t="s">
        <v>3541</v>
      </c>
      <c r="E891" t="s">
        <v>3399</v>
      </c>
      <c r="F891" t="s">
        <v>4</v>
      </c>
      <c r="G891">
        <v>2034000</v>
      </c>
      <c r="H891" t="s">
        <v>3542</v>
      </c>
      <c r="I891" t="s">
        <v>3543</v>
      </c>
      <c r="J891" t="s">
        <v>56</v>
      </c>
      <c r="K891">
        <v>8</v>
      </c>
      <c r="L891">
        <v>2</v>
      </c>
      <c r="M891">
        <v>2026</v>
      </c>
      <c r="N891" t="s">
        <v>47</v>
      </c>
      <c r="O891" s="5">
        <f>DATE(Tabela1[[#This Row],[vigencia ano]],Tabela1[[#This Row],[vigencia mês]],Tabela1[[#This Row],[vigencia dia]])</f>
        <v>46061</v>
      </c>
    </row>
    <row r="892" spans="1:15" x14ac:dyDescent="0.25">
      <c r="A892" t="s">
        <v>41</v>
      </c>
      <c r="B892" t="s">
        <v>3544</v>
      </c>
      <c r="C892" s="1">
        <v>67035584000101</v>
      </c>
      <c r="D892" t="s">
        <v>3545</v>
      </c>
      <c r="E892" t="s">
        <v>3399</v>
      </c>
      <c r="F892" t="s">
        <v>4</v>
      </c>
      <c r="G892">
        <v>5157030</v>
      </c>
      <c r="H892" t="s">
        <v>3546</v>
      </c>
      <c r="I892" t="s">
        <v>3547</v>
      </c>
      <c r="J892" t="s">
        <v>56</v>
      </c>
      <c r="K892">
        <v>10</v>
      </c>
      <c r="L892">
        <v>7</v>
      </c>
      <c r="M892">
        <v>2024</v>
      </c>
      <c r="N892" t="s">
        <v>47</v>
      </c>
      <c r="O892" s="5">
        <f>DATE(Tabela1[[#This Row],[vigencia ano]],Tabela1[[#This Row],[vigencia mês]],Tabela1[[#This Row],[vigencia dia]])</f>
        <v>45483</v>
      </c>
    </row>
    <row r="893" spans="1:15" x14ac:dyDescent="0.25">
      <c r="A893" t="s">
        <v>41</v>
      </c>
      <c r="B893" t="s">
        <v>3548</v>
      </c>
      <c r="C893" s="1">
        <v>52214426000141</v>
      </c>
      <c r="D893" t="s">
        <v>3549</v>
      </c>
      <c r="E893" t="s">
        <v>3399</v>
      </c>
      <c r="F893" t="s">
        <v>4</v>
      </c>
      <c r="G893">
        <v>2180060</v>
      </c>
      <c r="H893" t="s">
        <v>3550</v>
      </c>
      <c r="I893" t="s">
        <v>3551</v>
      </c>
      <c r="J893" t="s">
        <v>56</v>
      </c>
      <c r="K893">
        <v>10</v>
      </c>
      <c r="L893">
        <v>14</v>
      </c>
      <c r="M893">
        <v>2030</v>
      </c>
      <c r="N893" t="s">
        <v>47</v>
      </c>
      <c r="O893" s="5">
        <f>DATE(Tabela1[[#This Row],[vigencia ano]],Tabela1[[#This Row],[vigencia mês]],Tabela1[[#This Row],[vigencia dia]])</f>
        <v>47889</v>
      </c>
    </row>
    <row r="894" spans="1:15" x14ac:dyDescent="0.25">
      <c r="A894" t="s">
        <v>41</v>
      </c>
      <c r="B894" t="s">
        <v>3552</v>
      </c>
      <c r="C894" s="1">
        <v>58192345000174</v>
      </c>
      <c r="D894" t="s">
        <v>3553</v>
      </c>
      <c r="E894" t="s">
        <v>3399</v>
      </c>
      <c r="F894" t="s">
        <v>4</v>
      </c>
      <c r="G894">
        <v>4081005</v>
      </c>
      <c r="H894" t="s">
        <v>3554</v>
      </c>
      <c r="I894" t="s">
        <v>3555</v>
      </c>
      <c r="J894" t="s">
        <v>46</v>
      </c>
      <c r="K894">
        <v>5</v>
      </c>
      <c r="L894">
        <v>25</v>
      </c>
      <c r="M894">
        <v>2016</v>
      </c>
      <c r="N894" t="s">
        <v>47</v>
      </c>
      <c r="O894" s="5">
        <f>DATE(Tabela1[[#This Row],[vigencia ano]],Tabela1[[#This Row],[vigencia mês]],Tabela1[[#This Row],[vigencia dia]])</f>
        <v>43105</v>
      </c>
    </row>
    <row r="895" spans="1:15" x14ac:dyDescent="0.25">
      <c r="A895" t="s">
        <v>41</v>
      </c>
      <c r="B895" t="s">
        <v>3556</v>
      </c>
      <c r="C895" s="1">
        <v>43053081000109</v>
      </c>
      <c r="D895" t="s">
        <v>3557</v>
      </c>
      <c r="E895" t="s">
        <v>3399</v>
      </c>
      <c r="F895" t="s">
        <v>4</v>
      </c>
      <c r="G895">
        <v>2060100</v>
      </c>
      <c r="H895" t="s">
        <v>3558</v>
      </c>
      <c r="I895" t="s">
        <v>3559</v>
      </c>
      <c r="J895" t="s">
        <v>46</v>
      </c>
      <c r="K895">
        <v>7</v>
      </c>
      <c r="L895">
        <v>8</v>
      </c>
      <c r="M895">
        <v>2025</v>
      </c>
      <c r="N895" t="s">
        <v>47</v>
      </c>
      <c r="O895" s="5">
        <f>DATE(Tabela1[[#This Row],[vigencia ano]],Tabela1[[#This Row],[vigencia mês]],Tabela1[[#This Row],[vigencia dia]])</f>
        <v>45876</v>
      </c>
    </row>
    <row r="896" spans="1:15" x14ac:dyDescent="0.25">
      <c r="A896" t="s">
        <v>41</v>
      </c>
      <c r="B896" t="s">
        <v>3560</v>
      </c>
      <c r="C896" s="1">
        <v>12236207000149</v>
      </c>
      <c r="D896" t="s">
        <v>3561</v>
      </c>
      <c r="E896" t="s">
        <v>3399</v>
      </c>
      <c r="F896" t="s">
        <v>4</v>
      </c>
      <c r="G896">
        <v>2731040</v>
      </c>
      <c r="H896" t="s">
        <v>3562</v>
      </c>
      <c r="I896" t="s">
        <v>3563</v>
      </c>
      <c r="J896" t="s">
        <v>56</v>
      </c>
      <c r="K896">
        <v>6</v>
      </c>
      <c r="L896">
        <v>5</v>
      </c>
      <c r="M896">
        <v>2024</v>
      </c>
      <c r="N896" t="s">
        <v>47</v>
      </c>
      <c r="O896" s="5">
        <f>DATE(Tabela1[[#This Row],[vigencia ano]],Tabela1[[#This Row],[vigencia mês]],Tabela1[[#This Row],[vigencia dia]])</f>
        <v>45418</v>
      </c>
    </row>
    <row r="897" spans="1:15" x14ac:dyDescent="0.25">
      <c r="A897" t="s">
        <v>41</v>
      </c>
      <c r="B897" t="s">
        <v>3564</v>
      </c>
      <c r="C897" s="1">
        <v>62131248000149</v>
      </c>
      <c r="D897" t="s">
        <v>3565</v>
      </c>
      <c r="E897" t="s">
        <v>3399</v>
      </c>
      <c r="F897" t="s">
        <v>4</v>
      </c>
      <c r="G897">
        <v>2190050</v>
      </c>
      <c r="H897" t="s">
        <v>3566</v>
      </c>
      <c r="I897" t="s">
        <v>3567</v>
      </c>
      <c r="J897" t="s">
        <v>56</v>
      </c>
      <c r="K897">
        <v>12</v>
      </c>
      <c r="L897">
        <v>30</v>
      </c>
      <c r="M897">
        <v>2031</v>
      </c>
      <c r="N897" t="s">
        <v>47</v>
      </c>
      <c r="O897" s="5">
        <f>DATE(Tabela1[[#This Row],[vigencia ano]],Tabela1[[#This Row],[vigencia mês]],Tabela1[[#This Row],[vigencia dia]])</f>
        <v>48742</v>
      </c>
    </row>
    <row r="898" spans="1:15" x14ac:dyDescent="0.25">
      <c r="A898" t="s">
        <v>41</v>
      </c>
      <c r="B898" t="s">
        <v>3568</v>
      </c>
      <c r="C898" s="1">
        <v>61139432000172</v>
      </c>
      <c r="D898" t="s">
        <v>3569</v>
      </c>
      <c r="E898" t="s">
        <v>3399</v>
      </c>
      <c r="F898" t="s">
        <v>4</v>
      </c>
      <c r="G898">
        <v>2177010</v>
      </c>
      <c r="H898" t="s">
        <v>3570</v>
      </c>
      <c r="I898" t="s">
        <v>3571</v>
      </c>
      <c r="J898" t="s">
        <v>56</v>
      </c>
      <c r="K898">
        <v>1</v>
      </c>
      <c r="L898">
        <v>5</v>
      </c>
      <c r="M898">
        <v>2032</v>
      </c>
      <c r="N898" t="s">
        <v>47</v>
      </c>
      <c r="O898" s="5">
        <f>DATE(Tabela1[[#This Row],[vigencia ano]],Tabela1[[#This Row],[vigencia mês]],Tabela1[[#This Row],[vigencia dia]])</f>
        <v>48335</v>
      </c>
    </row>
    <row r="899" spans="1:15" x14ac:dyDescent="0.25">
      <c r="A899" t="s">
        <v>41</v>
      </c>
      <c r="B899" t="s">
        <v>3572</v>
      </c>
      <c r="C899" s="1">
        <v>39470857000100</v>
      </c>
      <c r="D899" t="s">
        <v>3573</v>
      </c>
      <c r="E899" t="s">
        <v>3399</v>
      </c>
      <c r="F899" t="s">
        <v>4</v>
      </c>
      <c r="G899">
        <v>3632040</v>
      </c>
      <c r="H899" t="s">
        <v>367</v>
      </c>
      <c r="I899" t="s">
        <v>3574</v>
      </c>
      <c r="J899" t="s">
        <v>56</v>
      </c>
      <c r="K899">
        <v>1</v>
      </c>
      <c r="L899">
        <v>5</v>
      </c>
      <c r="M899">
        <v>2032</v>
      </c>
      <c r="N899" t="s">
        <v>47</v>
      </c>
      <c r="O899" s="5">
        <f>DATE(Tabela1[[#This Row],[vigencia ano]],Tabela1[[#This Row],[vigencia mês]],Tabela1[[#This Row],[vigencia dia]])</f>
        <v>48335</v>
      </c>
    </row>
    <row r="900" spans="1:15" x14ac:dyDescent="0.25">
      <c r="A900" t="s">
        <v>41</v>
      </c>
      <c r="B900" t="s">
        <v>3575</v>
      </c>
      <c r="C900" s="1">
        <v>14068428000180</v>
      </c>
      <c r="D900" t="s">
        <v>3576</v>
      </c>
      <c r="E900" t="s">
        <v>3399</v>
      </c>
      <c r="F900" t="s">
        <v>4</v>
      </c>
      <c r="G900">
        <v>3186040</v>
      </c>
      <c r="H900" t="s">
        <v>3577</v>
      </c>
      <c r="I900" t="s">
        <v>3578</v>
      </c>
      <c r="J900" t="s">
        <v>56</v>
      </c>
      <c r="K900">
        <v>4</v>
      </c>
      <c r="L900">
        <v>18</v>
      </c>
      <c r="M900">
        <v>2029</v>
      </c>
      <c r="N900" t="s">
        <v>47</v>
      </c>
      <c r="O900" s="5">
        <f>DATE(Tabela1[[#This Row],[vigencia ano]],Tabela1[[#This Row],[vigencia mês]],Tabela1[[#This Row],[vigencia dia]])</f>
        <v>47638</v>
      </c>
    </row>
    <row r="901" spans="1:15" x14ac:dyDescent="0.25">
      <c r="A901" t="s">
        <v>41</v>
      </c>
      <c r="B901" t="s">
        <v>3579</v>
      </c>
      <c r="C901" s="1">
        <v>1661806000193</v>
      </c>
      <c r="D901" t="s">
        <v>3580</v>
      </c>
      <c r="E901" t="s">
        <v>3399</v>
      </c>
      <c r="F901" t="s">
        <v>4</v>
      </c>
      <c r="G901">
        <v>5077000</v>
      </c>
      <c r="H901" t="s">
        <v>3581</v>
      </c>
      <c r="I901" t="s">
        <v>3582</v>
      </c>
      <c r="J901" t="s">
        <v>56</v>
      </c>
      <c r="K901">
        <v>10</v>
      </c>
      <c r="L901">
        <v>19</v>
      </c>
      <c r="M901">
        <v>2028</v>
      </c>
      <c r="N901" t="s">
        <v>47</v>
      </c>
      <c r="O901" s="5">
        <f>DATE(Tabela1[[#This Row],[vigencia ano]],Tabela1[[#This Row],[vigencia mês]],Tabela1[[#This Row],[vigencia dia]])</f>
        <v>47309</v>
      </c>
    </row>
    <row r="902" spans="1:15" x14ac:dyDescent="0.25">
      <c r="A902" t="s">
        <v>41</v>
      </c>
      <c r="B902" t="s">
        <v>3583</v>
      </c>
      <c r="C902" s="1">
        <v>12002000000100</v>
      </c>
      <c r="D902" t="s">
        <v>3584</v>
      </c>
      <c r="E902" t="s">
        <v>3399</v>
      </c>
      <c r="F902" t="s">
        <v>4</v>
      </c>
      <c r="G902">
        <v>1402000</v>
      </c>
      <c r="H902" t="s">
        <v>3585</v>
      </c>
      <c r="I902" t="s">
        <v>3586</v>
      </c>
      <c r="J902" t="s">
        <v>46</v>
      </c>
      <c r="K902">
        <v>12</v>
      </c>
      <c r="L902">
        <v>2</v>
      </c>
      <c r="M902">
        <v>2025</v>
      </c>
      <c r="N902" t="s">
        <v>47</v>
      </c>
      <c r="O902" s="5">
        <f>DATE(Tabela1[[#This Row],[vigencia ano]],Tabela1[[#This Row],[vigencia mês]],Tabela1[[#This Row],[vigencia dia]])</f>
        <v>45700</v>
      </c>
    </row>
    <row r="903" spans="1:15" x14ac:dyDescent="0.25">
      <c r="A903" t="s">
        <v>41</v>
      </c>
      <c r="B903" t="s">
        <v>3587</v>
      </c>
      <c r="C903" s="1">
        <v>7955244000177</v>
      </c>
      <c r="D903" t="s">
        <v>3588</v>
      </c>
      <c r="E903" t="s">
        <v>3399</v>
      </c>
      <c r="F903" t="s">
        <v>4</v>
      </c>
      <c r="G903">
        <v>4612000</v>
      </c>
      <c r="H903" t="s">
        <v>3589</v>
      </c>
      <c r="I903" t="s">
        <v>3590</v>
      </c>
      <c r="J903" t="s">
        <v>56</v>
      </c>
      <c r="K903">
        <v>10</v>
      </c>
      <c r="L903">
        <v>15</v>
      </c>
      <c r="M903">
        <v>2031</v>
      </c>
      <c r="N903" t="s">
        <v>47</v>
      </c>
      <c r="O903" s="5">
        <f>DATE(Tabela1[[#This Row],[vigencia ano]],Tabela1[[#This Row],[vigencia mês]],Tabela1[[#This Row],[vigencia dia]])</f>
        <v>48283</v>
      </c>
    </row>
    <row r="904" spans="1:15" x14ac:dyDescent="0.25">
      <c r="A904" t="s">
        <v>41</v>
      </c>
      <c r="B904" t="s">
        <v>3587</v>
      </c>
      <c r="C904" s="1">
        <v>7955244000177</v>
      </c>
      <c r="D904" t="s">
        <v>3588</v>
      </c>
      <c r="E904" t="s">
        <v>3399</v>
      </c>
      <c r="F904" t="s">
        <v>4</v>
      </c>
      <c r="G904">
        <v>4612000</v>
      </c>
      <c r="H904" t="s">
        <v>3591</v>
      </c>
      <c r="I904" t="s">
        <v>3590</v>
      </c>
      <c r="J904" t="s">
        <v>56</v>
      </c>
      <c r="K904">
        <v>10</v>
      </c>
      <c r="L904">
        <v>15</v>
      </c>
      <c r="M904">
        <v>2031</v>
      </c>
      <c r="N904" t="s">
        <v>47</v>
      </c>
      <c r="O904" s="5">
        <f>DATE(Tabela1[[#This Row],[vigencia ano]],Tabela1[[#This Row],[vigencia mês]],Tabela1[[#This Row],[vigencia dia]])</f>
        <v>48283</v>
      </c>
    </row>
    <row r="905" spans="1:15" x14ac:dyDescent="0.25">
      <c r="A905" t="s">
        <v>41</v>
      </c>
      <c r="B905" t="s">
        <v>3592</v>
      </c>
      <c r="C905" s="1">
        <v>5075026000112</v>
      </c>
      <c r="D905" t="s">
        <v>3593</v>
      </c>
      <c r="E905" t="s">
        <v>3399</v>
      </c>
      <c r="F905" t="s">
        <v>4</v>
      </c>
      <c r="G905">
        <v>4403000</v>
      </c>
      <c r="H905" t="s">
        <v>3594</v>
      </c>
      <c r="I905" t="s">
        <v>3595</v>
      </c>
      <c r="J905" t="s">
        <v>56</v>
      </c>
      <c r="K905">
        <v>10</v>
      </c>
      <c r="L905">
        <v>8</v>
      </c>
      <c r="M905">
        <v>2025</v>
      </c>
      <c r="N905" t="s">
        <v>47</v>
      </c>
      <c r="O905" s="5">
        <f>DATE(Tabela1[[#This Row],[vigencia ano]],Tabela1[[#This Row],[vigencia mês]],Tabela1[[#This Row],[vigencia dia]])</f>
        <v>45879</v>
      </c>
    </row>
    <row r="906" spans="1:15" x14ac:dyDescent="0.25">
      <c r="A906" t="s">
        <v>41</v>
      </c>
      <c r="B906" t="s">
        <v>3596</v>
      </c>
      <c r="C906" s="1">
        <v>19040228000133</v>
      </c>
      <c r="D906" t="s">
        <v>3597</v>
      </c>
      <c r="E906" t="s">
        <v>3399</v>
      </c>
      <c r="F906" t="s">
        <v>4</v>
      </c>
      <c r="G906">
        <v>78746740</v>
      </c>
      <c r="H906" t="s">
        <v>3598</v>
      </c>
      <c r="I906" t="s">
        <v>3599</v>
      </c>
      <c r="J906" t="s">
        <v>56</v>
      </c>
      <c r="K906">
        <v>11</v>
      </c>
      <c r="L906">
        <v>22</v>
      </c>
      <c r="M906">
        <v>2033</v>
      </c>
      <c r="N906" t="s">
        <v>47</v>
      </c>
      <c r="O906" s="5">
        <f>DATE(Tabela1[[#This Row],[vigencia ano]],Tabela1[[#This Row],[vigencia mês]],Tabela1[[#This Row],[vigencia dia]])</f>
        <v>49228</v>
      </c>
    </row>
    <row r="907" spans="1:15" x14ac:dyDescent="0.25">
      <c r="A907" t="s">
        <v>41</v>
      </c>
      <c r="B907" t="s">
        <v>3600</v>
      </c>
      <c r="C907" s="1">
        <v>21197824000173</v>
      </c>
      <c r="D907" t="s">
        <v>3601</v>
      </c>
      <c r="E907" t="s">
        <v>3399</v>
      </c>
      <c r="F907" t="s">
        <v>4</v>
      </c>
      <c r="G907">
        <v>2052001</v>
      </c>
      <c r="H907" t="s">
        <v>367</v>
      </c>
      <c r="I907" t="s">
        <v>3602</v>
      </c>
      <c r="J907" t="s">
        <v>56</v>
      </c>
      <c r="K907">
        <v>7</v>
      </c>
      <c r="L907">
        <v>20</v>
      </c>
      <c r="M907">
        <v>2026</v>
      </c>
      <c r="N907" t="s">
        <v>47</v>
      </c>
      <c r="O907" s="5">
        <f>DATE(Tabela1[[#This Row],[vigencia ano]],Tabela1[[#This Row],[vigencia mês]],Tabela1[[#This Row],[vigencia dia]])</f>
        <v>46606</v>
      </c>
    </row>
    <row r="908" spans="1:15" x14ac:dyDescent="0.25">
      <c r="A908" t="s">
        <v>41</v>
      </c>
      <c r="B908" t="s">
        <v>3603</v>
      </c>
      <c r="C908" s="1">
        <v>9288026000151</v>
      </c>
      <c r="D908" t="s">
        <v>3604</v>
      </c>
      <c r="E908" t="s">
        <v>3399</v>
      </c>
      <c r="F908" t="s">
        <v>4</v>
      </c>
      <c r="G908">
        <v>2912020</v>
      </c>
      <c r="H908" t="s">
        <v>3605</v>
      </c>
      <c r="I908" t="s">
        <v>3606</v>
      </c>
      <c r="J908" t="s">
        <v>56</v>
      </c>
      <c r="K908">
        <v>12</v>
      </c>
      <c r="L908">
        <v>10</v>
      </c>
      <c r="M908">
        <v>2028</v>
      </c>
      <c r="N908" t="s">
        <v>47</v>
      </c>
      <c r="O908" s="5">
        <f>DATE(Tabela1[[#This Row],[vigencia ano]],Tabela1[[#This Row],[vigencia mês]],Tabela1[[#This Row],[vigencia dia]])</f>
        <v>47038</v>
      </c>
    </row>
    <row r="909" spans="1:15" x14ac:dyDescent="0.25">
      <c r="A909" t="s">
        <v>41</v>
      </c>
      <c r="B909" t="s">
        <v>3607</v>
      </c>
      <c r="C909" s="1">
        <v>29794317000129</v>
      </c>
      <c r="D909" t="s">
        <v>3608</v>
      </c>
      <c r="E909" t="s">
        <v>3399</v>
      </c>
      <c r="F909" t="s">
        <v>4</v>
      </c>
      <c r="G909">
        <v>4090003</v>
      </c>
      <c r="H909" t="s">
        <v>3609</v>
      </c>
      <c r="I909" t="s">
        <v>3610</v>
      </c>
      <c r="J909" t="s">
        <v>56</v>
      </c>
      <c r="K909">
        <v>9</v>
      </c>
      <c r="L909">
        <v>26</v>
      </c>
      <c r="M909">
        <v>2028</v>
      </c>
      <c r="N909" t="s">
        <v>47</v>
      </c>
      <c r="O909" s="5">
        <f>DATE(Tabela1[[#This Row],[vigencia ano]],Tabela1[[#This Row],[vigencia mês]],Tabela1[[#This Row],[vigencia dia]])</f>
        <v>47523</v>
      </c>
    </row>
    <row r="910" spans="1:15" x14ac:dyDescent="0.25">
      <c r="A910" t="s">
        <v>41</v>
      </c>
      <c r="B910" t="s">
        <v>3611</v>
      </c>
      <c r="C910" s="1">
        <v>14990752000151</v>
      </c>
      <c r="D910" t="s">
        <v>3612</v>
      </c>
      <c r="E910" t="s">
        <v>3399</v>
      </c>
      <c r="F910" t="s">
        <v>4</v>
      </c>
      <c r="G910">
        <v>5095010</v>
      </c>
      <c r="H910" t="s">
        <v>3613</v>
      </c>
      <c r="I910" t="s">
        <v>3614</v>
      </c>
      <c r="J910" t="s">
        <v>46</v>
      </c>
      <c r="K910">
        <v>3</v>
      </c>
      <c r="L910">
        <v>7</v>
      </c>
      <c r="M910">
        <v>2032</v>
      </c>
      <c r="N910" t="s">
        <v>47</v>
      </c>
      <c r="O910" s="5">
        <f>DATE(Tabela1[[#This Row],[vigencia ano]],Tabela1[[#This Row],[vigencia mês]],Tabela1[[#This Row],[vigencia dia]])</f>
        <v>48398</v>
      </c>
    </row>
    <row r="911" spans="1:15" x14ac:dyDescent="0.25">
      <c r="A911" t="s">
        <v>41</v>
      </c>
      <c r="B911" t="s">
        <v>3615</v>
      </c>
      <c r="C911" s="1">
        <v>14536532000152</v>
      </c>
      <c r="D911" t="s">
        <v>3616</v>
      </c>
      <c r="E911" t="s">
        <v>3399</v>
      </c>
      <c r="F911" t="s">
        <v>4</v>
      </c>
      <c r="G911">
        <v>3478007</v>
      </c>
      <c r="H911" t="s">
        <v>3617</v>
      </c>
      <c r="I911" t="s">
        <v>3618</v>
      </c>
      <c r="J911" t="s">
        <v>46</v>
      </c>
      <c r="K911">
        <v>9</v>
      </c>
      <c r="L911">
        <v>20</v>
      </c>
      <c r="M911">
        <v>2032</v>
      </c>
      <c r="N911" t="s">
        <v>47</v>
      </c>
      <c r="O911" s="5">
        <f>DATE(Tabela1[[#This Row],[vigencia ano]],Tabela1[[#This Row],[vigencia mês]],Tabela1[[#This Row],[vigencia dia]])</f>
        <v>48800</v>
      </c>
    </row>
    <row r="912" spans="1:15" x14ac:dyDescent="0.25">
      <c r="A912" t="s">
        <v>41</v>
      </c>
      <c r="B912" t="s">
        <v>3619</v>
      </c>
      <c r="C912" s="1">
        <v>15181688000120</v>
      </c>
      <c r="D912" t="s">
        <v>3620</v>
      </c>
      <c r="E912" t="s">
        <v>3399</v>
      </c>
      <c r="F912" t="s">
        <v>4</v>
      </c>
      <c r="G912">
        <v>18087210</v>
      </c>
      <c r="H912" t="s">
        <v>3621</v>
      </c>
      <c r="I912" t="s">
        <v>3622</v>
      </c>
      <c r="J912" t="s">
        <v>56</v>
      </c>
      <c r="K912">
        <v>12</v>
      </c>
      <c r="L912">
        <v>12</v>
      </c>
      <c r="M912">
        <v>2032</v>
      </c>
      <c r="N912" t="s">
        <v>47</v>
      </c>
      <c r="O912" s="5">
        <f>DATE(Tabela1[[#This Row],[vigencia ano]],Tabela1[[#This Row],[vigencia mês]],Tabela1[[#This Row],[vigencia dia]])</f>
        <v>48560</v>
      </c>
    </row>
    <row r="913" spans="1:15" x14ac:dyDescent="0.25">
      <c r="A913" t="s">
        <v>41</v>
      </c>
      <c r="B913" t="s">
        <v>3623</v>
      </c>
      <c r="C913" s="1">
        <v>74155052000173</v>
      </c>
      <c r="D913" t="s">
        <v>3624</v>
      </c>
      <c r="E913" t="s">
        <v>3399</v>
      </c>
      <c r="F913" t="s">
        <v>4</v>
      </c>
      <c r="G913">
        <v>4671245</v>
      </c>
      <c r="H913" t="s">
        <v>3625</v>
      </c>
      <c r="I913" t="s">
        <v>3626</v>
      </c>
      <c r="J913" t="s">
        <v>56</v>
      </c>
      <c r="K913">
        <v>1</v>
      </c>
      <c r="L913">
        <v>15</v>
      </c>
      <c r="M913">
        <v>2019</v>
      </c>
      <c r="N913" t="s">
        <v>47</v>
      </c>
      <c r="O913" s="5">
        <f>DATE(Tabela1[[#This Row],[vigencia ano]],Tabela1[[#This Row],[vigencia mês]],Tabela1[[#This Row],[vigencia dia]])</f>
        <v>43891</v>
      </c>
    </row>
    <row r="914" spans="1:15" x14ac:dyDescent="0.25">
      <c r="A914" t="s">
        <v>41</v>
      </c>
      <c r="B914" t="s">
        <v>3627</v>
      </c>
      <c r="C914" s="1">
        <v>21425093000176</v>
      </c>
      <c r="D914" t="s">
        <v>3628</v>
      </c>
      <c r="E914" t="s">
        <v>3399</v>
      </c>
      <c r="F914" t="s">
        <v>4</v>
      </c>
      <c r="G914">
        <v>11060033</v>
      </c>
      <c r="H914" t="s">
        <v>3629</v>
      </c>
      <c r="I914" t="s">
        <v>3630</v>
      </c>
      <c r="J914" t="s">
        <v>56</v>
      </c>
      <c r="K914">
        <v>10</v>
      </c>
      <c r="L914">
        <v>19</v>
      </c>
      <c r="M914">
        <v>2028</v>
      </c>
      <c r="N914" t="s">
        <v>47</v>
      </c>
      <c r="O914" s="5">
        <f>DATE(Tabela1[[#This Row],[vigencia ano]],Tabela1[[#This Row],[vigencia mês]],Tabela1[[#This Row],[vigencia dia]])</f>
        <v>47309</v>
      </c>
    </row>
    <row r="915" spans="1:15" x14ac:dyDescent="0.25">
      <c r="A915" t="s">
        <v>41</v>
      </c>
      <c r="B915" t="s">
        <v>3631</v>
      </c>
      <c r="C915" s="1">
        <v>14688220001640</v>
      </c>
      <c r="D915" t="s">
        <v>3632</v>
      </c>
      <c r="E915" t="s">
        <v>3399</v>
      </c>
      <c r="F915" t="s">
        <v>4</v>
      </c>
      <c r="G915">
        <v>1317910</v>
      </c>
      <c r="H915" t="s">
        <v>710</v>
      </c>
      <c r="I915" t="s">
        <v>3633</v>
      </c>
      <c r="J915" t="s">
        <v>56</v>
      </c>
      <c r="K915">
        <v>7</v>
      </c>
      <c r="L915">
        <v>4</v>
      </c>
      <c r="M915">
        <v>2033</v>
      </c>
      <c r="N915" t="s">
        <v>47</v>
      </c>
      <c r="O915" s="5">
        <f>DATE(Tabela1[[#This Row],[vigencia ano]],Tabela1[[#This Row],[vigencia mês]],Tabela1[[#This Row],[vigencia dia]])</f>
        <v>48676</v>
      </c>
    </row>
    <row r="916" spans="1:15" x14ac:dyDescent="0.25">
      <c r="A916" t="s">
        <v>41</v>
      </c>
      <c r="B916" t="s">
        <v>3634</v>
      </c>
      <c r="C916" s="1">
        <v>6897194000156</v>
      </c>
      <c r="D916" t="s">
        <v>3635</v>
      </c>
      <c r="E916" t="s">
        <v>3399</v>
      </c>
      <c r="F916" t="s">
        <v>4</v>
      </c>
      <c r="G916">
        <v>5037170</v>
      </c>
      <c r="H916" t="s">
        <v>3636</v>
      </c>
      <c r="I916" t="s">
        <v>3637</v>
      </c>
      <c r="J916" t="s">
        <v>56</v>
      </c>
      <c r="K916">
        <v>9</v>
      </c>
      <c r="L916">
        <v>21</v>
      </c>
      <c r="M916">
        <v>2030</v>
      </c>
      <c r="N916" t="s">
        <v>47</v>
      </c>
      <c r="O916" s="5">
        <f>DATE(Tabela1[[#This Row],[vigencia ano]],Tabela1[[#This Row],[vigencia mês]],Tabela1[[#This Row],[vigencia dia]])</f>
        <v>48100</v>
      </c>
    </row>
    <row r="917" spans="1:15" x14ac:dyDescent="0.25">
      <c r="A917" t="s">
        <v>41</v>
      </c>
      <c r="B917" t="s">
        <v>3638</v>
      </c>
      <c r="C917" s="1">
        <v>60959889000160</v>
      </c>
      <c r="D917" t="s">
        <v>3639</v>
      </c>
      <c r="E917" t="s">
        <v>3399</v>
      </c>
      <c r="F917" t="s">
        <v>4</v>
      </c>
      <c r="G917">
        <v>1350900</v>
      </c>
      <c r="H917" t="s">
        <v>3640</v>
      </c>
      <c r="I917" t="s">
        <v>3641</v>
      </c>
      <c r="J917" t="s">
        <v>46</v>
      </c>
      <c r="K917">
        <v>3</v>
      </c>
      <c r="L917">
        <v>23</v>
      </c>
      <c r="M917">
        <v>2015</v>
      </c>
      <c r="N917" t="s">
        <v>47</v>
      </c>
      <c r="O917" s="5">
        <f>DATE(Tabela1[[#This Row],[vigencia ano]],Tabela1[[#This Row],[vigencia mês]],Tabela1[[#This Row],[vigencia dia]])</f>
        <v>42677</v>
      </c>
    </row>
    <row r="918" spans="1:15" x14ac:dyDescent="0.25">
      <c r="A918" t="s">
        <v>41</v>
      </c>
      <c r="B918" t="s">
        <v>3642</v>
      </c>
      <c r="C918" s="1">
        <v>7799674000147</v>
      </c>
      <c r="D918" t="s">
        <v>3643</v>
      </c>
      <c r="E918" t="s">
        <v>3399</v>
      </c>
      <c r="F918" t="s">
        <v>4</v>
      </c>
      <c r="G918">
        <v>4078904</v>
      </c>
      <c r="H918" t="s">
        <v>3216</v>
      </c>
      <c r="I918" t="s">
        <v>3644</v>
      </c>
      <c r="J918" t="s">
        <v>56</v>
      </c>
      <c r="K918">
        <v>9</v>
      </c>
      <c r="L918">
        <v>29</v>
      </c>
      <c r="M918">
        <v>2032</v>
      </c>
      <c r="N918" t="s">
        <v>47</v>
      </c>
      <c r="O918" s="5">
        <f>DATE(Tabela1[[#This Row],[vigencia ano]],Tabela1[[#This Row],[vigencia mês]],Tabela1[[#This Row],[vigencia dia]])</f>
        <v>49073</v>
      </c>
    </row>
    <row r="919" spans="1:15" x14ac:dyDescent="0.25">
      <c r="A919" t="s">
        <v>41</v>
      </c>
      <c r="B919" t="s">
        <v>3645</v>
      </c>
      <c r="C919" s="1">
        <v>73475303000134</v>
      </c>
      <c r="D919" t="s">
        <v>3646</v>
      </c>
      <c r="E919" t="s">
        <v>3399</v>
      </c>
      <c r="F919" t="s">
        <v>4</v>
      </c>
      <c r="G919">
        <v>5118100</v>
      </c>
      <c r="H919" t="s">
        <v>3647</v>
      </c>
      <c r="I919" t="s">
        <v>3648</v>
      </c>
      <c r="J919" t="s">
        <v>46</v>
      </c>
      <c r="K919">
        <v>6</v>
      </c>
      <c r="L919">
        <v>10</v>
      </c>
      <c r="M919">
        <v>2025</v>
      </c>
      <c r="N919" t="s">
        <v>47</v>
      </c>
      <c r="O919" s="5">
        <f>DATE(Tabela1[[#This Row],[vigencia ano]],Tabela1[[#This Row],[vigencia mês]],Tabela1[[#This Row],[vigencia dia]])</f>
        <v>45936</v>
      </c>
    </row>
    <row r="920" spans="1:15" x14ac:dyDescent="0.25">
      <c r="A920" t="s">
        <v>41</v>
      </c>
      <c r="B920" t="s">
        <v>3649</v>
      </c>
      <c r="C920" s="1">
        <v>95591723000119</v>
      </c>
      <c r="D920" t="s">
        <v>3650</v>
      </c>
      <c r="E920" t="s">
        <v>3399</v>
      </c>
      <c r="F920" t="s">
        <v>4</v>
      </c>
      <c r="G920">
        <v>5118100</v>
      </c>
      <c r="H920" t="s">
        <v>3651</v>
      </c>
      <c r="I920" t="s">
        <v>3652</v>
      </c>
      <c r="J920" t="s">
        <v>46</v>
      </c>
      <c r="K920">
        <v>5</v>
      </c>
      <c r="L920">
        <v>8</v>
      </c>
      <c r="M920">
        <v>2035</v>
      </c>
      <c r="N920" t="s">
        <v>3653</v>
      </c>
      <c r="O920" s="5">
        <f>DATE(Tabela1[[#This Row],[vigencia ano]],Tabela1[[#This Row],[vigencia mês]],Tabela1[[#This Row],[vigencia dia]])</f>
        <v>49526</v>
      </c>
    </row>
    <row r="921" spans="1:15" x14ac:dyDescent="0.25">
      <c r="A921" t="s">
        <v>41</v>
      </c>
      <c r="B921" t="s">
        <v>3654</v>
      </c>
      <c r="C921" s="1">
        <v>24935218000104</v>
      </c>
      <c r="D921" t="s">
        <v>3655</v>
      </c>
      <c r="E921" t="s">
        <v>3399</v>
      </c>
      <c r="F921" t="s">
        <v>4</v>
      </c>
      <c r="G921">
        <v>2022040</v>
      </c>
      <c r="H921" t="s">
        <v>3656</v>
      </c>
      <c r="I921" t="s">
        <v>3657</v>
      </c>
      <c r="J921" t="s">
        <v>56</v>
      </c>
      <c r="K921">
        <v>11</v>
      </c>
      <c r="L921">
        <v>1</v>
      </c>
      <c r="M921">
        <v>2027</v>
      </c>
      <c r="N921" t="s">
        <v>47</v>
      </c>
      <c r="O921" s="5">
        <f>DATE(Tabela1[[#This Row],[vigencia ano]],Tabela1[[#This Row],[vigencia mês]],Tabela1[[#This Row],[vigencia dia]])</f>
        <v>46398</v>
      </c>
    </row>
    <row r="922" spans="1:15" x14ac:dyDescent="0.25">
      <c r="A922" t="s">
        <v>41</v>
      </c>
      <c r="B922" t="s">
        <v>3658</v>
      </c>
      <c r="C922" s="1">
        <v>47705660000131</v>
      </c>
      <c r="D922" t="s">
        <v>3659</v>
      </c>
      <c r="E922" t="s">
        <v>3399</v>
      </c>
      <c r="F922" t="s">
        <v>4</v>
      </c>
      <c r="G922">
        <v>2712130</v>
      </c>
      <c r="H922" t="s">
        <v>3660</v>
      </c>
      <c r="I922" t="s">
        <v>3661</v>
      </c>
      <c r="J922" t="s">
        <v>56</v>
      </c>
      <c r="K922">
        <v>12</v>
      </c>
      <c r="L922">
        <v>16</v>
      </c>
      <c r="M922">
        <v>2026</v>
      </c>
      <c r="N922" t="s">
        <v>47</v>
      </c>
      <c r="O922" s="5">
        <f>DATE(Tabela1[[#This Row],[vigencia ano]],Tabela1[[#This Row],[vigencia mês]],Tabela1[[#This Row],[vigencia dia]])</f>
        <v>46489</v>
      </c>
    </row>
    <row r="923" spans="1:15" x14ac:dyDescent="0.25">
      <c r="A923" t="s">
        <v>41</v>
      </c>
      <c r="B923" t="s">
        <v>3662</v>
      </c>
      <c r="C923" s="1">
        <v>1628604000140</v>
      </c>
      <c r="D923" t="s">
        <v>3663</v>
      </c>
      <c r="E923" t="s">
        <v>3399</v>
      </c>
      <c r="F923" t="s">
        <v>4</v>
      </c>
      <c r="G923">
        <v>5314000</v>
      </c>
      <c r="H923" t="s">
        <v>3664</v>
      </c>
      <c r="I923" t="s">
        <v>3665</v>
      </c>
      <c r="J923" t="s">
        <v>56</v>
      </c>
      <c r="K923">
        <v>8</v>
      </c>
      <c r="L923">
        <v>30</v>
      </c>
      <c r="M923">
        <v>2032</v>
      </c>
      <c r="N923" t="s">
        <v>47</v>
      </c>
      <c r="O923" s="5">
        <f>DATE(Tabela1[[#This Row],[vigencia ano]],Tabela1[[#This Row],[vigencia mês]],Tabela1[[#This Row],[vigencia dia]])</f>
        <v>49103</v>
      </c>
    </row>
    <row r="924" spans="1:15" x14ac:dyDescent="0.25">
      <c r="A924" t="s">
        <v>41</v>
      </c>
      <c r="B924" t="s">
        <v>3666</v>
      </c>
      <c r="C924" s="1">
        <v>68250067000118</v>
      </c>
      <c r="D924" t="s">
        <v>3667</v>
      </c>
      <c r="E924" t="s">
        <v>3399</v>
      </c>
      <c r="F924" t="s">
        <v>4</v>
      </c>
      <c r="G924">
        <v>1405001</v>
      </c>
      <c r="H924" t="s">
        <v>3668</v>
      </c>
      <c r="I924" t="s">
        <v>3669</v>
      </c>
      <c r="J924" t="s">
        <v>56</v>
      </c>
      <c r="K924">
        <v>7</v>
      </c>
      <c r="L924">
        <v>1</v>
      </c>
      <c r="M924">
        <v>2015</v>
      </c>
      <c r="N924" t="s">
        <v>47</v>
      </c>
      <c r="O924" s="5">
        <f>DATE(Tabela1[[#This Row],[vigencia ano]],Tabela1[[#This Row],[vigencia mês]],Tabela1[[#This Row],[vigencia dia]])</f>
        <v>42011</v>
      </c>
    </row>
    <row r="925" spans="1:15" x14ac:dyDescent="0.25">
      <c r="A925" t="s">
        <v>41</v>
      </c>
      <c r="B925" t="s">
        <v>3670</v>
      </c>
      <c r="C925" s="1">
        <v>24574383000170</v>
      </c>
      <c r="D925" t="s">
        <v>3671</v>
      </c>
      <c r="E925" t="s">
        <v>3399</v>
      </c>
      <c r="F925" t="s">
        <v>4</v>
      </c>
      <c r="G925">
        <v>4711130</v>
      </c>
      <c r="H925" t="s">
        <v>3672</v>
      </c>
      <c r="I925" t="s">
        <v>3673</v>
      </c>
      <c r="J925" t="s">
        <v>56</v>
      </c>
      <c r="K925">
        <v>8</v>
      </c>
      <c r="L925">
        <v>5</v>
      </c>
      <c r="M925">
        <v>2036</v>
      </c>
      <c r="N925" t="s">
        <v>3674</v>
      </c>
      <c r="O925" s="5">
        <f>DATE(Tabela1[[#This Row],[vigencia ano]],Tabela1[[#This Row],[vigencia mês]],Tabela1[[#This Row],[vigencia dia]])</f>
        <v>49803</v>
      </c>
    </row>
    <row r="926" spans="1:15" x14ac:dyDescent="0.25">
      <c r="A926" t="s">
        <v>41</v>
      </c>
      <c r="B926" t="s">
        <v>3670</v>
      </c>
      <c r="C926" s="1">
        <v>24574383000170</v>
      </c>
      <c r="D926" t="s">
        <v>3671</v>
      </c>
      <c r="E926" t="s">
        <v>3399</v>
      </c>
      <c r="F926" t="s">
        <v>4</v>
      </c>
      <c r="G926">
        <v>4711130</v>
      </c>
      <c r="H926" t="s">
        <v>3675</v>
      </c>
      <c r="I926" t="s">
        <v>3673</v>
      </c>
      <c r="J926" t="s">
        <v>56</v>
      </c>
      <c r="K926">
        <v>8</v>
      </c>
      <c r="L926">
        <v>5</v>
      </c>
      <c r="M926">
        <v>2036</v>
      </c>
      <c r="N926" t="s">
        <v>3674</v>
      </c>
      <c r="O926" s="5">
        <f>DATE(Tabela1[[#This Row],[vigencia ano]],Tabela1[[#This Row],[vigencia mês]],Tabela1[[#This Row],[vigencia dia]])</f>
        <v>49803</v>
      </c>
    </row>
    <row r="927" spans="1:15" x14ac:dyDescent="0.25">
      <c r="A927" t="s">
        <v>41</v>
      </c>
      <c r="B927" t="s">
        <v>3676</v>
      </c>
      <c r="C927" s="1">
        <v>6159434000115</v>
      </c>
      <c r="D927" t="s">
        <v>3677</v>
      </c>
      <c r="E927" t="s">
        <v>3399</v>
      </c>
      <c r="F927" t="s">
        <v>4</v>
      </c>
      <c r="G927">
        <v>4578000</v>
      </c>
      <c r="H927" t="s">
        <v>3678</v>
      </c>
      <c r="I927" t="s">
        <v>3679</v>
      </c>
      <c r="J927" t="s">
        <v>56</v>
      </c>
      <c r="K927">
        <v>5</v>
      </c>
      <c r="L927">
        <v>20</v>
      </c>
      <c r="M927">
        <v>2023</v>
      </c>
      <c r="N927" t="s">
        <v>47</v>
      </c>
      <c r="O927" s="5">
        <f>DATE(Tabela1[[#This Row],[vigencia ano]],Tabela1[[#This Row],[vigencia mês]],Tabela1[[#This Row],[vigencia dia]])</f>
        <v>45509</v>
      </c>
    </row>
    <row r="928" spans="1:15" x14ac:dyDescent="0.25">
      <c r="A928" t="s">
        <v>41</v>
      </c>
      <c r="B928" t="s">
        <v>3680</v>
      </c>
      <c r="C928" s="1">
        <v>96178405000193</v>
      </c>
      <c r="D928" t="s">
        <v>3681</v>
      </c>
      <c r="E928" t="s">
        <v>3399</v>
      </c>
      <c r="F928" t="s">
        <v>4</v>
      </c>
      <c r="G928">
        <v>1311200</v>
      </c>
      <c r="H928" t="s">
        <v>3682</v>
      </c>
      <c r="I928" t="s">
        <v>3683</v>
      </c>
      <c r="J928" t="s">
        <v>56</v>
      </c>
      <c r="K928">
        <v>9</v>
      </c>
      <c r="L928">
        <v>26</v>
      </c>
      <c r="M928">
        <v>2016</v>
      </c>
      <c r="N928" t="s">
        <v>47</v>
      </c>
      <c r="O928" s="5">
        <f>DATE(Tabela1[[#This Row],[vigencia ano]],Tabela1[[#This Row],[vigencia mês]],Tabela1[[#This Row],[vigencia dia]])</f>
        <v>43140</v>
      </c>
    </row>
    <row r="929" spans="1:15" x14ac:dyDescent="0.25">
      <c r="A929" t="s">
        <v>41</v>
      </c>
      <c r="B929" t="s">
        <v>3684</v>
      </c>
      <c r="C929" s="1">
        <v>2199856000163</v>
      </c>
      <c r="D929" t="s">
        <v>3685</v>
      </c>
      <c r="E929" t="s">
        <v>3399</v>
      </c>
      <c r="F929" t="s">
        <v>4</v>
      </c>
      <c r="G929">
        <v>4707910</v>
      </c>
      <c r="H929" t="s">
        <v>3686</v>
      </c>
      <c r="I929" t="s">
        <v>3687</v>
      </c>
      <c r="J929" t="s">
        <v>56</v>
      </c>
      <c r="K929">
        <v>3</v>
      </c>
      <c r="L929">
        <v>10</v>
      </c>
      <c r="M929">
        <v>2026</v>
      </c>
      <c r="N929" t="s">
        <v>47</v>
      </c>
      <c r="O929" s="5">
        <f>DATE(Tabela1[[#This Row],[vigencia ano]],Tabela1[[#This Row],[vigencia mês]],Tabela1[[#This Row],[vigencia dia]])</f>
        <v>46298</v>
      </c>
    </row>
    <row r="930" spans="1:15" x14ac:dyDescent="0.25">
      <c r="A930" t="s">
        <v>41</v>
      </c>
      <c r="B930" t="s">
        <v>3688</v>
      </c>
      <c r="C930" s="1">
        <v>43823079000163</v>
      </c>
      <c r="D930" t="s">
        <v>3689</v>
      </c>
      <c r="E930" t="s">
        <v>3399</v>
      </c>
      <c r="F930" t="s">
        <v>4</v>
      </c>
      <c r="G930">
        <v>4575060</v>
      </c>
      <c r="H930" t="s">
        <v>3690</v>
      </c>
      <c r="I930" t="s">
        <v>3691</v>
      </c>
      <c r="J930" t="s">
        <v>56</v>
      </c>
      <c r="K930">
        <v>6</v>
      </c>
      <c r="L930">
        <v>16</v>
      </c>
      <c r="M930">
        <v>2026</v>
      </c>
      <c r="N930" t="s">
        <v>47</v>
      </c>
      <c r="O930" s="5">
        <f>DATE(Tabela1[[#This Row],[vigencia ano]],Tabela1[[#This Row],[vigencia mês]],Tabela1[[#This Row],[vigencia dia]])</f>
        <v>46483</v>
      </c>
    </row>
    <row r="931" spans="1:15" x14ac:dyDescent="0.25">
      <c r="A931" t="s">
        <v>41</v>
      </c>
      <c r="B931" t="s">
        <v>3692</v>
      </c>
      <c r="C931" s="1">
        <v>642552000101</v>
      </c>
      <c r="D931" t="s">
        <v>3693</v>
      </c>
      <c r="E931" t="s">
        <v>3399</v>
      </c>
      <c r="F931" t="s">
        <v>4</v>
      </c>
      <c r="G931">
        <v>1137000</v>
      </c>
      <c r="H931" t="s">
        <v>3694</v>
      </c>
      <c r="I931" t="s">
        <v>3695</v>
      </c>
      <c r="J931" t="s">
        <v>56</v>
      </c>
      <c r="K931">
        <v>5</v>
      </c>
      <c r="L931">
        <v>10</v>
      </c>
      <c r="M931">
        <v>2026</v>
      </c>
      <c r="N931" t="s">
        <v>47</v>
      </c>
      <c r="O931" s="5">
        <f>DATE(Tabela1[[#This Row],[vigencia ano]],Tabela1[[#This Row],[vigencia mês]],Tabela1[[#This Row],[vigencia dia]])</f>
        <v>46300</v>
      </c>
    </row>
    <row r="932" spans="1:15" x14ac:dyDescent="0.25">
      <c r="A932" t="s">
        <v>41</v>
      </c>
      <c r="B932" t="s">
        <v>3696</v>
      </c>
      <c r="C932" s="1">
        <v>35912495000100</v>
      </c>
      <c r="D932" t="s">
        <v>3697</v>
      </c>
      <c r="E932" t="s">
        <v>3399</v>
      </c>
      <c r="F932" t="s">
        <v>4</v>
      </c>
      <c r="G932">
        <v>5106901</v>
      </c>
      <c r="H932" t="s">
        <v>3698</v>
      </c>
      <c r="I932" t="s">
        <v>3699</v>
      </c>
      <c r="J932" t="s">
        <v>56</v>
      </c>
      <c r="K932">
        <v>5</v>
      </c>
      <c r="L932">
        <v>20</v>
      </c>
      <c r="M932">
        <v>2030</v>
      </c>
      <c r="N932" t="s">
        <v>47</v>
      </c>
      <c r="O932" s="5">
        <f>DATE(Tabela1[[#This Row],[vigencia ano]],Tabela1[[#This Row],[vigencia mês]],Tabela1[[#This Row],[vigencia dia]])</f>
        <v>48065</v>
      </c>
    </row>
    <row r="933" spans="1:15" x14ac:dyDescent="0.25">
      <c r="A933" t="s">
        <v>41</v>
      </c>
      <c r="B933" t="s">
        <v>3700</v>
      </c>
      <c r="C933" s="1">
        <v>14353423000108</v>
      </c>
      <c r="D933" t="s">
        <v>3701</v>
      </c>
      <c r="E933" t="s">
        <v>3399</v>
      </c>
      <c r="F933" t="s">
        <v>4</v>
      </c>
      <c r="G933">
        <v>5421001</v>
      </c>
      <c r="H933" t="s">
        <v>3702</v>
      </c>
      <c r="I933" t="s">
        <v>3703</v>
      </c>
      <c r="J933" t="s">
        <v>56</v>
      </c>
      <c r="K933">
        <v>1</v>
      </c>
      <c r="L933">
        <v>7</v>
      </c>
      <c r="M933">
        <v>2024</v>
      </c>
      <c r="N933" t="s">
        <v>47</v>
      </c>
      <c r="O933" s="5">
        <f>DATE(Tabela1[[#This Row],[vigencia ano]],Tabela1[[#This Row],[vigencia mês]],Tabela1[[#This Row],[vigencia dia]])</f>
        <v>45474</v>
      </c>
    </row>
    <row r="934" spans="1:15" x14ac:dyDescent="0.25">
      <c r="A934" t="s">
        <v>41</v>
      </c>
      <c r="B934" t="s">
        <v>3704</v>
      </c>
      <c r="C934" s="1">
        <v>33838907000183</v>
      </c>
      <c r="D934" t="s">
        <v>3705</v>
      </c>
      <c r="E934" t="s">
        <v>3399</v>
      </c>
      <c r="F934" t="s">
        <v>4</v>
      </c>
      <c r="G934">
        <v>4536001</v>
      </c>
      <c r="H934" t="s">
        <v>3706</v>
      </c>
      <c r="I934" t="s">
        <v>3707</v>
      </c>
      <c r="J934" t="s">
        <v>56</v>
      </c>
      <c r="K934">
        <v>3</v>
      </c>
      <c r="L934">
        <v>26</v>
      </c>
      <c r="M934">
        <v>2031</v>
      </c>
      <c r="N934" t="s">
        <v>47</v>
      </c>
      <c r="O934" s="5">
        <f>DATE(Tabela1[[#This Row],[vigencia ano]],Tabela1[[#This Row],[vigencia mês]],Tabela1[[#This Row],[vigencia dia]])</f>
        <v>48613</v>
      </c>
    </row>
    <row r="935" spans="1:15" x14ac:dyDescent="0.25">
      <c r="A935" t="s">
        <v>41</v>
      </c>
      <c r="B935" t="s">
        <v>3708</v>
      </c>
      <c r="C935" s="1">
        <v>15060677000192</v>
      </c>
      <c r="D935" t="s">
        <v>3709</v>
      </c>
      <c r="E935" t="s">
        <v>3399</v>
      </c>
      <c r="F935" t="s">
        <v>4</v>
      </c>
      <c r="G935">
        <v>1227200</v>
      </c>
      <c r="H935" t="s">
        <v>3710</v>
      </c>
      <c r="I935" t="s">
        <v>3711</v>
      </c>
      <c r="J935" t="s">
        <v>56</v>
      </c>
      <c r="K935">
        <v>8</v>
      </c>
      <c r="L935">
        <v>19</v>
      </c>
      <c r="M935">
        <v>2035</v>
      </c>
      <c r="N935" t="s">
        <v>3712</v>
      </c>
      <c r="O935" s="5">
        <f>DATE(Tabela1[[#This Row],[vigencia ano]],Tabela1[[#This Row],[vigencia mês]],Tabela1[[#This Row],[vigencia dia]])</f>
        <v>49864</v>
      </c>
    </row>
    <row r="936" spans="1:15" x14ac:dyDescent="0.25">
      <c r="A936" t="s">
        <v>41</v>
      </c>
      <c r="B936" t="s">
        <v>3708</v>
      </c>
      <c r="C936" s="1">
        <v>15060677000192</v>
      </c>
      <c r="D936" t="s">
        <v>3709</v>
      </c>
      <c r="E936" t="s">
        <v>3399</v>
      </c>
      <c r="F936" t="s">
        <v>4</v>
      </c>
      <c r="G936">
        <v>1227200</v>
      </c>
      <c r="H936" t="s">
        <v>3713</v>
      </c>
      <c r="I936" t="s">
        <v>3711</v>
      </c>
      <c r="J936" t="s">
        <v>56</v>
      </c>
      <c r="K936">
        <v>8</v>
      </c>
      <c r="L936">
        <v>19</v>
      </c>
      <c r="M936">
        <v>2035</v>
      </c>
      <c r="N936" t="s">
        <v>3712</v>
      </c>
      <c r="O936" s="5">
        <f>DATE(Tabela1[[#This Row],[vigencia ano]],Tabela1[[#This Row],[vigencia mês]],Tabela1[[#This Row],[vigencia dia]])</f>
        <v>49864</v>
      </c>
    </row>
    <row r="937" spans="1:15" x14ac:dyDescent="0.25">
      <c r="A937" t="s">
        <v>41</v>
      </c>
      <c r="B937" t="s">
        <v>3714</v>
      </c>
      <c r="C937" s="1">
        <v>1125797000116</v>
      </c>
      <c r="D937" t="s">
        <v>3715</v>
      </c>
      <c r="E937" t="s">
        <v>3399</v>
      </c>
      <c r="F937" t="s">
        <v>4</v>
      </c>
      <c r="G937">
        <v>6696110</v>
      </c>
      <c r="H937" t="s">
        <v>3716</v>
      </c>
      <c r="I937" t="s">
        <v>3717</v>
      </c>
      <c r="J937" t="s">
        <v>56</v>
      </c>
      <c r="K937">
        <v>10</v>
      </c>
      <c r="L937">
        <v>30</v>
      </c>
      <c r="M937">
        <v>2034</v>
      </c>
      <c r="N937" t="s">
        <v>47</v>
      </c>
      <c r="O937" s="5">
        <f>DATE(Tabela1[[#This Row],[vigencia ano]],Tabela1[[#This Row],[vigencia mês]],Tabela1[[#This Row],[vigencia dia]])</f>
        <v>49836</v>
      </c>
    </row>
    <row r="938" spans="1:15" x14ac:dyDescent="0.25">
      <c r="A938" t="s">
        <v>41</v>
      </c>
      <c r="B938" t="s">
        <v>3714</v>
      </c>
      <c r="C938" s="1">
        <v>1125797000116</v>
      </c>
      <c r="D938" t="s">
        <v>3715</v>
      </c>
      <c r="E938" t="s">
        <v>3399</v>
      </c>
      <c r="F938" t="s">
        <v>4</v>
      </c>
      <c r="G938">
        <v>6696110</v>
      </c>
      <c r="H938" t="s">
        <v>3718</v>
      </c>
      <c r="I938" t="s">
        <v>3717</v>
      </c>
      <c r="J938" t="s">
        <v>56</v>
      </c>
      <c r="K938">
        <v>10</v>
      </c>
      <c r="L938">
        <v>30</v>
      </c>
      <c r="M938">
        <v>2034</v>
      </c>
      <c r="N938" t="s">
        <v>47</v>
      </c>
      <c r="O938" s="5">
        <f>DATE(Tabela1[[#This Row],[vigencia ano]],Tabela1[[#This Row],[vigencia mês]],Tabela1[[#This Row],[vigencia dia]])</f>
        <v>49836</v>
      </c>
    </row>
    <row r="939" spans="1:15" x14ac:dyDescent="0.25">
      <c r="A939" t="s">
        <v>41</v>
      </c>
      <c r="B939" t="s">
        <v>3719</v>
      </c>
      <c r="C939" s="1">
        <v>3781114000104</v>
      </c>
      <c r="D939" t="s">
        <v>3720</v>
      </c>
      <c r="E939" t="s">
        <v>3399</v>
      </c>
      <c r="F939" t="s">
        <v>4</v>
      </c>
      <c r="G939">
        <v>4652234</v>
      </c>
      <c r="H939" t="s">
        <v>3721</v>
      </c>
      <c r="I939" t="s">
        <v>3722</v>
      </c>
      <c r="J939" t="s">
        <v>56</v>
      </c>
      <c r="K939">
        <v>11</v>
      </c>
      <c r="L939">
        <v>25</v>
      </c>
      <c r="M939">
        <v>2026</v>
      </c>
      <c r="N939" t="s">
        <v>47</v>
      </c>
      <c r="O939" s="5">
        <f>DATE(Tabela1[[#This Row],[vigencia ano]],Tabela1[[#This Row],[vigencia mês]],Tabela1[[#This Row],[vigencia dia]])</f>
        <v>46763</v>
      </c>
    </row>
    <row r="940" spans="1:15" x14ac:dyDescent="0.25">
      <c r="A940" t="s">
        <v>41</v>
      </c>
      <c r="B940" t="s">
        <v>3723</v>
      </c>
      <c r="C940" s="1">
        <v>8428626000105</v>
      </c>
      <c r="D940" t="s">
        <v>3724</v>
      </c>
      <c r="E940" t="s">
        <v>3399</v>
      </c>
      <c r="F940" t="s">
        <v>4</v>
      </c>
      <c r="G940">
        <v>1311927</v>
      </c>
      <c r="H940" t="s">
        <v>3725</v>
      </c>
      <c r="I940" t="s">
        <v>3726</v>
      </c>
      <c r="J940" t="s">
        <v>46</v>
      </c>
      <c r="K940">
        <v>9</v>
      </c>
      <c r="L940">
        <v>16</v>
      </c>
      <c r="M940">
        <v>2032</v>
      </c>
      <c r="N940" t="s">
        <v>47</v>
      </c>
      <c r="O940" s="5">
        <f>DATE(Tabela1[[#This Row],[vigencia ano]],Tabela1[[#This Row],[vigencia mês]],Tabela1[[#This Row],[vigencia dia]])</f>
        <v>48678</v>
      </c>
    </row>
    <row r="941" spans="1:15" x14ac:dyDescent="0.25">
      <c r="A941" t="s">
        <v>41</v>
      </c>
      <c r="B941" t="s">
        <v>3727</v>
      </c>
      <c r="C941" s="1">
        <v>8902275000122</v>
      </c>
      <c r="D941" t="s">
        <v>3728</v>
      </c>
      <c r="E941" t="s">
        <v>3399</v>
      </c>
      <c r="F941" t="s">
        <v>4</v>
      </c>
      <c r="G941">
        <v>2016060</v>
      </c>
      <c r="H941" t="s">
        <v>3729</v>
      </c>
      <c r="I941" t="s">
        <v>3730</v>
      </c>
      <c r="J941" t="s">
        <v>56</v>
      </c>
      <c r="K941">
        <v>1</v>
      </c>
      <c r="L941">
        <v>12</v>
      </c>
      <c r="M941">
        <v>2034</v>
      </c>
      <c r="N941" t="s">
        <v>47</v>
      </c>
      <c r="O941" s="5">
        <f>DATE(Tabela1[[#This Row],[vigencia ano]],Tabela1[[#This Row],[vigencia mês]],Tabela1[[#This Row],[vigencia dia]])</f>
        <v>49279</v>
      </c>
    </row>
    <row r="942" spans="1:15" x14ac:dyDescent="0.25">
      <c r="A942" t="s">
        <v>41</v>
      </c>
      <c r="B942" t="s">
        <v>3731</v>
      </c>
      <c r="C942" s="1">
        <v>3706460000128</v>
      </c>
      <c r="D942" t="s">
        <v>3732</v>
      </c>
      <c r="E942" t="s">
        <v>3399</v>
      </c>
      <c r="F942" t="s">
        <v>4</v>
      </c>
      <c r="G942">
        <v>4726170</v>
      </c>
      <c r="H942" t="s">
        <v>2705</v>
      </c>
      <c r="I942" t="s">
        <v>3733</v>
      </c>
      <c r="J942" t="s">
        <v>46</v>
      </c>
      <c r="K942">
        <v>9</v>
      </c>
      <c r="L942">
        <v>5</v>
      </c>
      <c r="M942">
        <v>2022</v>
      </c>
      <c r="N942" t="s">
        <v>47</v>
      </c>
      <c r="O942" s="5">
        <f>DATE(Tabela1[[#This Row],[vigencia ano]],Tabela1[[#This Row],[vigencia mês]],Tabela1[[#This Row],[vigencia dia]])</f>
        <v>44690</v>
      </c>
    </row>
    <row r="943" spans="1:15" x14ac:dyDescent="0.25">
      <c r="A943" t="s">
        <v>41</v>
      </c>
      <c r="B943" t="s">
        <v>3734</v>
      </c>
      <c r="C943" s="1">
        <v>12365000136</v>
      </c>
      <c r="D943" t="s">
        <v>3735</v>
      </c>
      <c r="E943" t="s">
        <v>3399</v>
      </c>
      <c r="F943" t="s">
        <v>4</v>
      </c>
      <c r="G943">
        <v>4604006</v>
      </c>
      <c r="H943" t="s">
        <v>3736</v>
      </c>
      <c r="I943" t="s">
        <v>3737</v>
      </c>
      <c r="J943" t="s">
        <v>56</v>
      </c>
      <c r="K943">
        <v>12</v>
      </c>
      <c r="L943">
        <v>9</v>
      </c>
      <c r="M943">
        <v>2015</v>
      </c>
      <c r="N943" t="s">
        <v>47</v>
      </c>
      <c r="O943" s="5">
        <f>DATE(Tabela1[[#This Row],[vigencia ano]],Tabela1[[#This Row],[vigencia mês]],Tabela1[[#This Row],[vigencia dia]])</f>
        <v>42259</v>
      </c>
    </row>
    <row r="944" spans="1:15" x14ac:dyDescent="0.25">
      <c r="A944" t="s">
        <v>41</v>
      </c>
      <c r="B944" t="s">
        <v>3738</v>
      </c>
      <c r="C944" s="1">
        <v>13610140000123</v>
      </c>
      <c r="D944" t="s">
        <v>3739</v>
      </c>
      <c r="E944" t="s">
        <v>3399</v>
      </c>
      <c r="F944" t="s">
        <v>4</v>
      </c>
      <c r="G944">
        <v>4532001</v>
      </c>
      <c r="H944" t="s">
        <v>3740</v>
      </c>
      <c r="I944" t="s">
        <v>3741</v>
      </c>
      <c r="J944" t="s">
        <v>56</v>
      </c>
      <c r="K944">
        <v>8</v>
      </c>
      <c r="L944">
        <v>21</v>
      </c>
      <c r="M944">
        <v>2030</v>
      </c>
      <c r="N944" t="s">
        <v>47</v>
      </c>
      <c r="O944" s="5">
        <f>DATE(Tabela1[[#This Row],[vigencia ano]],Tabela1[[#This Row],[vigencia mês]],Tabela1[[#This Row],[vigencia dia]])</f>
        <v>48099</v>
      </c>
    </row>
    <row r="945" spans="1:15" x14ac:dyDescent="0.25">
      <c r="A945" t="s">
        <v>41</v>
      </c>
      <c r="B945" t="s">
        <v>3742</v>
      </c>
      <c r="C945" s="1">
        <v>14249275000178</v>
      </c>
      <c r="D945" t="s">
        <v>3743</v>
      </c>
      <c r="E945" t="s">
        <v>3399</v>
      </c>
      <c r="F945" t="s">
        <v>4</v>
      </c>
      <c r="G945">
        <v>7181100</v>
      </c>
      <c r="H945" t="s">
        <v>3744</v>
      </c>
      <c r="I945" t="s">
        <v>3745</v>
      </c>
      <c r="J945" t="s">
        <v>56</v>
      </c>
      <c r="K945">
        <v>6</v>
      </c>
      <c r="L945">
        <v>24</v>
      </c>
      <c r="M945">
        <v>2024</v>
      </c>
      <c r="N945" t="s">
        <v>47</v>
      </c>
      <c r="O945" s="5">
        <f>DATE(Tabela1[[#This Row],[vigencia ano]],Tabela1[[#This Row],[vigencia mês]],Tabela1[[#This Row],[vigencia dia]])</f>
        <v>45997</v>
      </c>
    </row>
    <row r="946" spans="1:15" x14ac:dyDescent="0.25">
      <c r="A946" t="s">
        <v>41</v>
      </c>
      <c r="B946" t="s">
        <v>3746</v>
      </c>
      <c r="C946" s="1">
        <v>7710013000101</v>
      </c>
      <c r="D946" t="s">
        <v>3747</v>
      </c>
      <c r="E946" t="s">
        <v>3399</v>
      </c>
      <c r="F946" t="s">
        <v>4</v>
      </c>
      <c r="G946">
        <v>4080001</v>
      </c>
      <c r="H946" t="s">
        <v>3748</v>
      </c>
      <c r="I946" t="s">
        <v>3749</v>
      </c>
      <c r="J946" t="s">
        <v>56</v>
      </c>
      <c r="K946">
        <v>8</v>
      </c>
      <c r="L946">
        <v>21</v>
      </c>
      <c r="M946">
        <v>2024</v>
      </c>
      <c r="N946" t="s">
        <v>47</v>
      </c>
      <c r="O946" s="5">
        <f>DATE(Tabela1[[#This Row],[vigencia ano]],Tabela1[[#This Row],[vigencia mês]],Tabela1[[#This Row],[vigencia dia]])</f>
        <v>45908</v>
      </c>
    </row>
    <row r="947" spans="1:15" x14ac:dyDescent="0.25">
      <c r="A947" t="s">
        <v>110</v>
      </c>
      <c r="B947" t="s">
        <v>3750</v>
      </c>
      <c r="C947" s="1">
        <v>5672864000173</v>
      </c>
      <c r="D947" t="s">
        <v>3751</v>
      </c>
      <c r="E947" t="s">
        <v>3399</v>
      </c>
      <c r="F947" t="s">
        <v>4</v>
      </c>
      <c r="G947">
        <v>47047910</v>
      </c>
      <c r="H947" t="s">
        <v>3752</v>
      </c>
      <c r="I947" t="s">
        <v>3753</v>
      </c>
      <c r="J947" t="s">
        <v>56</v>
      </c>
      <c r="K947">
        <v>3</v>
      </c>
      <c r="L947">
        <v>6</v>
      </c>
      <c r="M947">
        <v>2023</v>
      </c>
      <c r="N947" t="s">
        <v>47</v>
      </c>
      <c r="O947" s="5">
        <f>DATE(Tabela1[[#This Row],[vigencia ano]],Tabela1[[#This Row],[vigencia mês]],Tabela1[[#This Row],[vigencia dia]])</f>
        <v>45080</v>
      </c>
    </row>
    <row r="948" spans="1:15" x14ac:dyDescent="0.25">
      <c r="A948" t="s">
        <v>41</v>
      </c>
      <c r="B948" t="s">
        <v>3754</v>
      </c>
      <c r="C948" s="1">
        <v>32190485000110</v>
      </c>
      <c r="D948" t="s">
        <v>3755</v>
      </c>
      <c r="E948" t="s">
        <v>3399</v>
      </c>
      <c r="F948" t="s">
        <v>4</v>
      </c>
      <c r="G948">
        <v>2710120</v>
      </c>
      <c r="H948" t="s">
        <v>3756</v>
      </c>
      <c r="I948" t="s">
        <v>3757</v>
      </c>
      <c r="J948" t="s">
        <v>56</v>
      </c>
      <c r="K948">
        <v>10</v>
      </c>
      <c r="L948">
        <v>5</v>
      </c>
      <c r="M948">
        <v>2032</v>
      </c>
      <c r="N948" t="s">
        <v>47</v>
      </c>
      <c r="O948" s="5">
        <f>DATE(Tabela1[[#This Row],[vigencia ano]],Tabela1[[#This Row],[vigencia mês]],Tabela1[[#This Row],[vigencia dia]])</f>
        <v>48344</v>
      </c>
    </row>
    <row r="949" spans="1:15" x14ac:dyDescent="0.25">
      <c r="A949" t="s">
        <v>41</v>
      </c>
      <c r="B949" t="s">
        <v>3758</v>
      </c>
      <c r="C949" s="1">
        <v>10515785000199</v>
      </c>
      <c r="D949" t="s">
        <v>3759</v>
      </c>
      <c r="E949" t="s">
        <v>3399</v>
      </c>
      <c r="F949" t="s">
        <v>4</v>
      </c>
      <c r="G949">
        <v>1310915</v>
      </c>
      <c r="H949" t="s">
        <v>3760</v>
      </c>
      <c r="I949" t="s">
        <v>3761</v>
      </c>
      <c r="J949" t="s">
        <v>56</v>
      </c>
      <c r="K949">
        <v>12</v>
      </c>
      <c r="L949">
        <v>10</v>
      </c>
      <c r="M949">
        <v>2022</v>
      </c>
      <c r="N949" t="s">
        <v>47</v>
      </c>
      <c r="O949" s="5">
        <f>DATE(Tabela1[[#This Row],[vigencia ano]],Tabela1[[#This Row],[vigencia mês]],Tabela1[[#This Row],[vigencia dia]])</f>
        <v>44846</v>
      </c>
    </row>
    <row r="950" spans="1:15" x14ac:dyDescent="0.25">
      <c r="A950" t="s">
        <v>41</v>
      </c>
      <c r="B950" t="s">
        <v>3762</v>
      </c>
      <c r="C950" s="1">
        <v>33940034000115</v>
      </c>
      <c r="D950" t="s">
        <v>3763</v>
      </c>
      <c r="E950" t="s">
        <v>3399</v>
      </c>
      <c r="F950" t="s">
        <v>4</v>
      </c>
      <c r="G950">
        <v>4468080</v>
      </c>
      <c r="H950" t="s">
        <v>3764</v>
      </c>
      <c r="I950" t="s">
        <v>3765</v>
      </c>
      <c r="J950" t="s">
        <v>56</v>
      </c>
      <c r="K950">
        <v>4</v>
      </c>
      <c r="L950">
        <v>26</v>
      </c>
      <c r="M950">
        <v>2031</v>
      </c>
      <c r="N950" t="s">
        <v>47</v>
      </c>
      <c r="O950" s="5">
        <f>DATE(Tabela1[[#This Row],[vigencia ano]],Tabela1[[#This Row],[vigencia mês]],Tabela1[[#This Row],[vigencia dia]])</f>
        <v>48614</v>
      </c>
    </row>
    <row r="951" spans="1:15" x14ac:dyDescent="0.25">
      <c r="A951" t="s">
        <v>41</v>
      </c>
      <c r="B951" t="s">
        <v>3766</v>
      </c>
      <c r="C951" s="1">
        <v>5908748000100</v>
      </c>
      <c r="D951" t="s">
        <v>3767</v>
      </c>
      <c r="E951" t="s">
        <v>3399</v>
      </c>
      <c r="F951" t="s">
        <v>4</v>
      </c>
      <c r="G951">
        <v>4794000</v>
      </c>
      <c r="H951" t="s">
        <v>218</v>
      </c>
      <c r="I951" t="s">
        <v>3768</v>
      </c>
      <c r="J951" t="s">
        <v>46</v>
      </c>
      <c r="K951">
        <v>6</v>
      </c>
      <c r="L951">
        <v>24</v>
      </c>
      <c r="M951">
        <v>2030</v>
      </c>
      <c r="N951" t="s">
        <v>47</v>
      </c>
      <c r="O951" s="5">
        <f>DATE(Tabela1[[#This Row],[vigencia ano]],Tabela1[[#This Row],[vigencia mês]],Tabela1[[#This Row],[vigencia dia]])</f>
        <v>48188</v>
      </c>
    </row>
    <row r="952" spans="1:15" x14ac:dyDescent="0.25">
      <c r="A952" t="s">
        <v>41</v>
      </c>
      <c r="B952" t="s">
        <v>3769</v>
      </c>
      <c r="C952" s="1">
        <v>28387734000194</v>
      </c>
      <c r="D952" t="s">
        <v>3770</v>
      </c>
      <c r="E952" t="s">
        <v>3399</v>
      </c>
      <c r="F952" t="s">
        <v>4</v>
      </c>
      <c r="G952">
        <v>4543011</v>
      </c>
      <c r="H952" t="s">
        <v>3771</v>
      </c>
      <c r="I952" t="s">
        <v>3772</v>
      </c>
      <c r="J952" t="s">
        <v>56</v>
      </c>
      <c r="K952">
        <v>12</v>
      </c>
      <c r="L952">
        <v>13</v>
      </c>
      <c r="M952">
        <v>2032</v>
      </c>
      <c r="N952" t="s">
        <v>47</v>
      </c>
      <c r="O952" s="5">
        <f>DATE(Tabela1[[#This Row],[vigencia ano]],Tabela1[[#This Row],[vigencia mês]],Tabela1[[#This Row],[vigencia dia]])</f>
        <v>48591</v>
      </c>
    </row>
    <row r="953" spans="1:15" x14ac:dyDescent="0.25">
      <c r="A953" t="s">
        <v>41</v>
      </c>
      <c r="B953" t="s">
        <v>3773</v>
      </c>
      <c r="C953" s="1">
        <v>2427026000146</v>
      </c>
      <c r="D953" t="s">
        <v>3774</v>
      </c>
      <c r="E953" t="s">
        <v>3399</v>
      </c>
      <c r="F953" t="s">
        <v>4</v>
      </c>
      <c r="G953">
        <v>4719002</v>
      </c>
      <c r="H953" t="s">
        <v>2947</v>
      </c>
      <c r="I953" t="s">
        <v>3775</v>
      </c>
      <c r="J953" t="s">
        <v>46</v>
      </c>
      <c r="K953">
        <v>5</v>
      </c>
      <c r="L953">
        <v>8</v>
      </c>
      <c r="M953">
        <v>2035</v>
      </c>
      <c r="N953" t="s">
        <v>3776</v>
      </c>
      <c r="O953" s="5">
        <f>DATE(Tabela1[[#This Row],[vigencia ano]],Tabela1[[#This Row],[vigencia mês]],Tabela1[[#This Row],[vigencia dia]])</f>
        <v>49526</v>
      </c>
    </row>
    <row r="954" spans="1:15" x14ac:dyDescent="0.25">
      <c r="A954" t="s">
        <v>41</v>
      </c>
      <c r="B954" t="s">
        <v>3773</v>
      </c>
      <c r="C954" s="1">
        <v>2427026000146</v>
      </c>
      <c r="D954" t="s">
        <v>3774</v>
      </c>
      <c r="E954" t="s">
        <v>3399</v>
      </c>
      <c r="F954" t="s">
        <v>4</v>
      </c>
      <c r="G954">
        <v>4719002</v>
      </c>
      <c r="H954" t="s">
        <v>2949</v>
      </c>
      <c r="I954" t="s">
        <v>3775</v>
      </c>
      <c r="J954" t="s">
        <v>46</v>
      </c>
      <c r="K954">
        <v>5</v>
      </c>
      <c r="L954">
        <v>8</v>
      </c>
      <c r="M954">
        <v>2035</v>
      </c>
      <c r="N954" t="s">
        <v>3776</v>
      </c>
      <c r="O954" s="5">
        <f>DATE(Tabela1[[#This Row],[vigencia ano]],Tabela1[[#This Row],[vigencia mês]],Tabela1[[#This Row],[vigencia dia]])</f>
        <v>49526</v>
      </c>
    </row>
    <row r="955" spans="1:15" x14ac:dyDescent="0.25">
      <c r="A955" t="s">
        <v>41</v>
      </c>
      <c r="B955" t="s">
        <v>3777</v>
      </c>
      <c r="C955" s="1">
        <v>31447188000144</v>
      </c>
      <c r="D955" t="s">
        <v>3778</v>
      </c>
      <c r="E955" t="s">
        <v>3399</v>
      </c>
      <c r="F955" t="s">
        <v>4</v>
      </c>
      <c r="G955">
        <v>4719002</v>
      </c>
      <c r="H955" t="s">
        <v>3779</v>
      </c>
      <c r="I955" t="s">
        <v>3780</v>
      </c>
      <c r="J955" t="s">
        <v>56</v>
      </c>
      <c r="K955">
        <v>4</v>
      </c>
      <c r="L955">
        <v>30</v>
      </c>
      <c r="M955">
        <v>2025</v>
      </c>
      <c r="N955" t="s">
        <v>47</v>
      </c>
      <c r="O955" s="5">
        <f>DATE(Tabela1[[#This Row],[vigencia ano]],Tabela1[[#This Row],[vigencia mês]],Tabela1[[#This Row],[vigencia dia]])</f>
        <v>46542</v>
      </c>
    </row>
    <row r="956" spans="1:15" x14ac:dyDescent="0.25">
      <c r="A956" t="s">
        <v>41</v>
      </c>
      <c r="B956" t="s">
        <v>3781</v>
      </c>
      <c r="C956" s="1">
        <v>86846847000107</v>
      </c>
      <c r="D956" t="s">
        <v>3782</v>
      </c>
      <c r="E956" t="s">
        <v>3399</v>
      </c>
      <c r="F956" t="s">
        <v>4</v>
      </c>
      <c r="G956">
        <v>4089014</v>
      </c>
      <c r="H956" t="s">
        <v>3783</v>
      </c>
      <c r="I956" t="s">
        <v>3784</v>
      </c>
      <c r="J956" t="s">
        <v>46</v>
      </c>
      <c r="K956">
        <v>5</v>
      </c>
      <c r="L956">
        <v>27</v>
      </c>
      <c r="M956">
        <v>2031</v>
      </c>
      <c r="N956" t="s">
        <v>47</v>
      </c>
      <c r="O956" s="5">
        <f>DATE(Tabela1[[#This Row],[vigencia ano]],Tabela1[[#This Row],[vigencia mês]],Tabela1[[#This Row],[vigencia dia]])</f>
        <v>48643</v>
      </c>
    </row>
    <row r="957" spans="1:15" x14ac:dyDescent="0.25">
      <c r="A957" t="s">
        <v>41</v>
      </c>
      <c r="B957" t="s">
        <v>3785</v>
      </c>
      <c r="C957" s="1">
        <v>26074475000116</v>
      </c>
      <c r="D957" t="s">
        <v>3786</v>
      </c>
      <c r="E957" t="s">
        <v>3399</v>
      </c>
      <c r="F957" t="s">
        <v>4</v>
      </c>
      <c r="G957">
        <v>2121020</v>
      </c>
      <c r="H957" t="s">
        <v>3787</v>
      </c>
      <c r="I957" t="s">
        <v>3788</v>
      </c>
      <c r="J957" t="s">
        <v>56</v>
      </c>
      <c r="K957">
        <v>10</v>
      </c>
      <c r="L957">
        <v>26</v>
      </c>
      <c r="M957">
        <v>2027</v>
      </c>
      <c r="N957" t="s">
        <v>47</v>
      </c>
      <c r="O957" s="5">
        <f>DATE(Tabela1[[#This Row],[vigencia ano]],Tabela1[[#This Row],[vigencia mês]],Tabela1[[#This Row],[vigencia dia]])</f>
        <v>47159</v>
      </c>
    </row>
    <row r="958" spans="1:15" x14ac:dyDescent="0.25">
      <c r="A958" t="s">
        <v>41</v>
      </c>
      <c r="B958" t="s">
        <v>3789</v>
      </c>
      <c r="C958" s="1">
        <v>10265949000177</v>
      </c>
      <c r="D958" t="s">
        <v>3790</v>
      </c>
      <c r="E958" t="s">
        <v>3399</v>
      </c>
      <c r="F958" t="s">
        <v>4</v>
      </c>
      <c r="G958">
        <v>4794000</v>
      </c>
      <c r="H958" t="s">
        <v>247</v>
      </c>
      <c r="I958" t="s">
        <v>3791</v>
      </c>
      <c r="J958" t="s">
        <v>56</v>
      </c>
      <c r="K958">
        <v>10</v>
      </c>
      <c r="L958">
        <v>28</v>
      </c>
      <c r="M958">
        <v>2035</v>
      </c>
      <c r="N958" t="s">
        <v>3792</v>
      </c>
      <c r="O958" s="5">
        <f>DATE(Tabela1[[#This Row],[vigencia ano]],Tabela1[[#This Row],[vigencia mês]],Tabela1[[#This Row],[vigencia dia]])</f>
        <v>50140</v>
      </c>
    </row>
    <row r="959" spans="1:15" x14ac:dyDescent="0.25">
      <c r="A959" t="s">
        <v>41</v>
      </c>
      <c r="B959" t="s">
        <v>3789</v>
      </c>
      <c r="C959" s="1">
        <v>10265949000177</v>
      </c>
      <c r="D959" t="s">
        <v>3790</v>
      </c>
      <c r="E959" t="s">
        <v>3399</v>
      </c>
      <c r="F959" t="s">
        <v>4</v>
      </c>
      <c r="G959">
        <v>4794000</v>
      </c>
      <c r="H959" t="s">
        <v>3793</v>
      </c>
      <c r="I959" t="s">
        <v>3791</v>
      </c>
      <c r="J959" t="s">
        <v>56</v>
      </c>
      <c r="K959">
        <v>10</v>
      </c>
      <c r="L959">
        <v>28</v>
      </c>
      <c r="M959">
        <v>2035</v>
      </c>
      <c r="N959" t="s">
        <v>3792</v>
      </c>
      <c r="O959" s="5">
        <f>DATE(Tabela1[[#This Row],[vigencia ano]],Tabela1[[#This Row],[vigencia mês]],Tabela1[[#This Row],[vigencia dia]])</f>
        <v>50140</v>
      </c>
    </row>
    <row r="960" spans="1:15" x14ac:dyDescent="0.25">
      <c r="A960" t="s">
        <v>41</v>
      </c>
      <c r="B960" t="s">
        <v>3789</v>
      </c>
      <c r="C960" s="1">
        <v>10265949000177</v>
      </c>
      <c r="D960" t="s">
        <v>3790</v>
      </c>
      <c r="E960" t="s">
        <v>3399</v>
      </c>
      <c r="F960" t="s">
        <v>4</v>
      </c>
      <c r="G960">
        <v>4794000</v>
      </c>
      <c r="H960" t="s">
        <v>3793</v>
      </c>
      <c r="I960" t="s">
        <v>3791</v>
      </c>
      <c r="J960" t="s">
        <v>56</v>
      </c>
      <c r="K960">
        <v>10</v>
      </c>
      <c r="L960">
        <v>28</v>
      </c>
      <c r="M960">
        <v>2035</v>
      </c>
      <c r="N960" t="s">
        <v>3792</v>
      </c>
      <c r="O960" s="5">
        <f>DATE(Tabela1[[#This Row],[vigencia ano]],Tabela1[[#This Row],[vigencia mês]],Tabela1[[#This Row],[vigencia dia]])</f>
        <v>50140</v>
      </c>
    </row>
    <row r="961" spans="1:15" x14ac:dyDescent="0.25">
      <c r="A961" t="s">
        <v>41</v>
      </c>
      <c r="B961" t="s">
        <v>3794</v>
      </c>
      <c r="C961" s="1">
        <v>2502234000162</v>
      </c>
      <c r="D961" t="s">
        <v>3795</v>
      </c>
      <c r="E961" t="s">
        <v>3399</v>
      </c>
      <c r="F961" t="s">
        <v>4</v>
      </c>
      <c r="G961">
        <v>1311200</v>
      </c>
      <c r="H961" t="s">
        <v>3796</v>
      </c>
      <c r="I961" t="s">
        <v>3797</v>
      </c>
      <c r="J961" t="s">
        <v>56</v>
      </c>
      <c r="K961">
        <v>5</v>
      </c>
      <c r="L961">
        <v>3</v>
      </c>
      <c r="M961">
        <v>2029</v>
      </c>
      <c r="N961" t="s">
        <v>47</v>
      </c>
      <c r="O961" s="5">
        <f>DATE(Tabela1[[#This Row],[vigencia ano]],Tabela1[[#This Row],[vigencia mês]],Tabela1[[#This Row],[vigencia dia]])</f>
        <v>47182</v>
      </c>
    </row>
    <row r="962" spans="1:15" x14ac:dyDescent="0.25">
      <c r="A962" t="s">
        <v>41</v>
      </c>
      <c r="B962" t="s">
        <v>3798</v>
      </c>
      <c r="C962" s="1">
        <v>23048581000137</v>
      </c>
      <c r="D962" t="s">
        <v>3799</v>
      </c>
      <c r="E962" t="s">
        <v>3399</v>
      </c>
      <c r="F962" t="s">
        <v>4</v>
      </c>
      <c r="G962">
        <v>4567060</v>
      </c>
      <c r="H962" t="s">
        <v>3800</v>
      </c>
      <c r="I962" t="s">
        <v>3801</v>
      </c>
      <c r="J962" t="s">
        <v>56</v>
      </c>
      <c r="K962">
        <v>9</v>
      </c>
      <c r="L962">
        <v>4</v>
      </c>
      <c r="M962">
        <v>2028</v>
      </c>
      <c r="N962" t="s">
        <v>47</v>
      </c>
      <c r="O962" s="5">
        <f>DATE(Tabela1[[#This Row],[vigencia ano]],Tabela1[[#This Row],[vigencia mês]],Tabela1[[#This Row],[vigencia dia]])</f>
        <v>46852</v>
      </c>
    </row>
    <row r="963" spans="1:15" x14ac:dyDescent="0.25">
      <c r="A963" t="s">
        <v>41</v>
      </c>
      <c r="B963" t="s">
        <v>3802</v>
      </c>
      <c r="C963" s="1">
        <v>61145488000130</v>
      </c>
      <c r="D963" t="s">
        <v>3803</v>
      </c>
      <c r="E963" t="s">
        <v>3399</v>
      </c>
      <c r="F963" t="s">
        <v>4</v>
      </c>
      <c r="G963">
        <v>1311000</v>
      </c>
      <c r="H963" t="s">
        <v>3804</v>
      </c>
      <c r="I963" t="s">
        <v>3805</v>
      </c>
      <c r="J963" t="s">
        <v>56</v>
      </c>
      <c r="K963">
        <v>9</v>
      </c>
      <c r="L963">
        <v>29</v>
      </c>
      <c r="M963">
        <v>2027</v>
      </c>
      <c r="N963" t="s">
        <v>47</v>
      </c>
      <c r="O963" s="5">
        <f>DATE(Tabela1[[#This Row],[vigencia ano]],Tabela1[[#This Row],[vigencia mês]],Tabela1[[#This Row],[vigencia dia]])</f>
        <v>47247</v>
      </c>
    </row>
    <row r="964" spans="1:15" x14ac:dyDescent="0.25">
      <c r="A964" t="s">
        <v>41</v>
      </c>
      <c r="B964" t="s">
        <v>3806</v>
      </c>
      <c r="C964" s="1">
        <v>17614000186</v>
      </c>
      <c r="D964" t="s">
        <v>3807</v>
      </c>
      <c r="E964" t="s">
        <v>3399</v>
      </c>
      <c r="F964" t="s">
        <v>4</v>
      </c>
      <c r="G964">
        <v>21110001</v>
      </c>
      <c r="H964" t="s">
        <v>3808</v>
      </c>
      <c r="I964" t="s">
        <v>3809</v>
      </c>
      <c r="J964" t="s">
        <v>56</v>
      </c>
      <c r="K964">
        <v>7</v>
      </c>
      <c r="L964">
        <v>26</v>
      </c>
      <c r="M964">
        <v>2020</v>
      </c>
      <c r="N964" t="s">
        <v>47</v>
      </c>
      <c r="O964" s="5">
        <f>DATE(Tabela1[[#This Row],[vigencia ano]],Tabela1[[#This Row],[vigencia mês]],Tabela1[[#This Row],[vigencia dia]])</f>
        <v>44599</v>
      </c>
    </row>
    <row r="965" spans="1:15" x14ac:dyDescent="0.25">
      <c r="A965" t="s">
        <v>41</v>
      </c>
      <c r="B965" t="s">
        <v>3810</v>
      </c>
      <c r="C965" s="1">
        <v>54974027000104</v>
      </c>
      <c r="D965" t="s">
        <v>3811</v>
      </c>
      <c r="E965" t="s">
        <v>3399</v>
      </c>
      <c r="F965" t="s">
        <v>4</v>
      </c>
      <c r="G965">
        <v>1326010</v>
      </c>
      <c r="H965" t="s">
        <v>3812</v>
      </c>
      <c r="I965" t="s">
        <v>3813</v>
      </c>
      <c r="J965" t="s">
        <v>56</v>
      </c>
      <c r="K965">
        <v>3</v>
      </c>
      <c r="L965">
        <v>17</v>
      </c>
      <c r="M965">
        <v>2030</v>
      </c>
      <c r="N965" t="s">
        <v>47</v>
      </c>
      <c r="O965" s="5">
        <f>DATE(Tabela1[[#This Row],[vigencia ano]],Tabela1[[#This Row],[vigencia mês]],Tabela1[[#This Row],[vigencia dia]])</f>
        <v>47971</v>
      </c>
    </row>
    <row r="966" spans="1:15" x14ac:dyDescent="0.25">
      <c r="A966" t="s">
        <v>41</v>
      </c>
      <c r="B966" t="s">
        <v>3814</v>
      </c>
      <c r="C966" s="1">
        <v>5951386000130</v>
      </c>
      <c r="D966" t="s">
        <v>3815</v>
      </c>
      <c r="E966" t="s">
        <v>3399</v>
      </c>
      <c r="F966" t="s">
        <v>4</v>
      </c>
      <c r="G966">
        <v>1311000</v>
      </c>
      <c r="H966" t="s">
        <v>3816</v>
      </c>
      <c r="I966" t="s">
        <v>3817</v>
      </c>
      <c r="J966" t="s">
        <v>46</v>
      </c>
      <c r="K966">
        <v>9</v>
      </c>
      <c r="L966">
        <v>10</v>
      </c>
      <c r="M966">
        <v>2035</v>
      </c>
      <c r="N966" t="s">
        <v>3818</v>
      </c>
      <c r="O966" s="5">
        <f>DATE(Tabela1[[#This Row],[vigencia ano]],Tabela1[[#This Row],[vigencia mês]],Tabela1[[#This Row],[vigencia dia]])</f>
        <v>49591</v>
      </c>
    </row>
    <row r="967" spans="1:15" x14ac:dyDescent="0.25">
      <c r="A967" t="s">
        <v>41</v>
      </c>
      <c r="B967" t="s">
        <v>3814</v>
      </c>
      <c r="C967" s="1">
        <v>5951386000130</v>
      </c>
      <c r="D967" t="s">
        <v>3815</v>
      </c>
      <c r="E967" t="s">
        <v>3399</v>
      </c>
      <c r="F967" t="s">
        <v>4</v>
      </c>
      <c r="G967">
        <v>1311000</v>
      </c>
      <c r="H967" t="s">
        <v>3191</v>
      </c>
      <c r="I967" t="s">
        <v>3817</v>
      </c>
      <c r="J967" t="s">
        <v>46</v>
      </c>
      <c r="K967">
        <v>9</v>
      </c>
      <c r="L967">
        <v>10</v>
      </c>
      <c r="M967">
        <v>2035</v>
      </c>
      <c r="N967" t="s">
        <v>3818</v>
      </c>
      <c r="O967" s="5">
        <f>DATE(Tabela1[[#This Row],[vigencia ano]],Tabela1[[#This Row],[vigencia mês]],Tabela1[[#This Row],[vigencia dia]])</f>
        <v>49591</v>
      </c>
    </row>
    <row r="968" spans="1:15" x14ac:dyDescent="0.25">
      <c r="A968" t="s">
        <v>41</v>
      </c>
      <c r="B968" t="s">
        <v>3819</v>
      </c>
      <c r="C968" s="1">
        <v>22636165000197</v>
      </c>
      <c r="D968" t="s">
        <v>3820</v>
      </c>
      <c r="E968" t="s">
        <v>3399</v>
      </c>
      <c r="F968" t="s">
        <v>4</v>
      </c>
      <c r="G968">
        <v>4004030</v>
      </c>
      <c r="H968" t="s">
        <v>3821</v>
      </c>
      <c r="I968" t="s">
        <v>3822</v>
      </c>
      <c r="J968" t="s">
        <v>56</v>
      </c>
      <c r="K968">
        <v>9</v>
      </c>
      <c r="L968">
        <v>21</v>
      </c>
      <c r="M968">
        <v>2028</v>
      </c>
      <c r="N968" t="s">
        <v>47</v>
      </c>
      <c r="O968" s="5">
        <f>DATE(Tabela1[[#This Row],[vigencia ano]],Tabela1[[#This Row],[vigencia mês]],Tabela1[[#This Row],[vigencia dia]])</f>
        <v>47370</v>
      </c>
    </row>
    <row r="969" spans="1:15" x14ac:dyDescent="0.25">
      <c r="A969" t="s">
        <v>41</v>
      </c>
      <c r="B969" t="s">
        <v>3823</v>
      </c>
      <c r="C969" s="1">
        <v>8691713000150</v>
      </c>
      <c r="D969" t="s">
        <v>3824</v>
      </c>
      <c r="E969" t="s">
        <v>3399</v>
      </c>
      <c r="F969" t="s">
        <v>4</v>
      </c>
      <c r="G969">
        <v>1311000</v>
      </c>
      <c r="H969" t="s">
        <v>3191</v>
      </c>
      <c r="I969" t="s">
        <v>3825</v>
      </c>
      <c r="J969" t="s">
        <v>46</v>
      </c>
      <c r="K969">
        <v>4</v>
      </c>
      <c r="L969">
        <v>1</v>
      </c>
      <c r="M969">
        <v>2035</v>
      </c>
      <c r="N969" t="s">
        <v>3826</v>
      </c>
      <c r="O969" s="5">
        <f>DATE(Tabela1[[#This Row],[vigencia ano]],Tabela1[[#This Row],[vigencia mês]],Tabela1[[#This Row],[vigencia dia]])</f>
        <v>49313</v>
      </c>
    </row>
    <row r="970" spans="1:15" x14ac:dyDescent="0.25">
      <c r="A970" t="s">
        <v>41</v>
      </c>
      <c r="B970" t="s">
        <v>3827</v>
      </c>
      <c r="C970" s="1">
        <v>23785960000100</v>
      </c>
      <c r="D970" t="s">
        <v>3828</v>
      </c>
      <c r="E970" t="s">
        <v>3399</v>
      </c>
      <c r="F970" t="s">
        <v>4</v>
      </c>
      <c r="G970">
        <v>4571010</v>
      </c>
      <c r="H970" t="s">
        <v>1554</v>
      </c>
      <c r="I970" t="s">
        <v>3829</v>
      </c>
      <c r="J970" t="s">
        <v>56</v>
      </c>
      <c r="K970">
        <v>5</v>
      </c>
      <c r="L970">
        <v>25</v>
      </c>
      <c r="M970">
        <v>2028</v>
      </c>
      <c r="N970" t="s">
        <v>47</v>
      </c>
      <c r="O970" s="5">
        <f>DATE(Tabela1[[#This Row],[vigencia ano]],Tabela1[[#This Row],[vigencia mês]],Tabela1[[#This Row],[vigencia dia]])</f>
        <v>47488</v>
      </c>
    </row>
    <row r="971" spans="1:15" x14ac:dyDescent="0.25">
      <c r="A971" t="s">
        <v>41</v>
      </c>
      <c r="B971" t="s">
        <v>3830</v>
      </c>
      <c r="C971" s="1">
        <v>3229138000155</v>
      </c>
      <c r="D971" t="s">
        <v>3831</v>
      </c>
      <c r="E971" t="s">
        <v>3399</v>
      </c>
      <c r="F971" t="s">
        <v>4</v>
      </c>
      <c r="G971">
        <v>4571010</v>
      </c>
      <c r="H971" t="s">
        <v>1433</v>
      </c>
      <c r="I971" t="s">
        <v>3832</v>
      </c>
      <c r="J971" t="s">
        <v>46</v>
      </c>
      <c r="K971">
        <v>1</v>
      </c>
      <c r="L971">
        <v>24</v>
      </c>
      <c r="M971">
        <v>2032</v>
      </c>
      <c r="N971" t="s">
        <v>47</v>
      </c>
      <c r="O971" s="5">
        <f>DATE(Tabela1[[#This Row],[vigencia ano]],Tabela1[[#This Row],[vigencia mês]],Tabela1[[#This Row],[vigencia dia]])</f>
        <v>48914</v>
      </c>
    </row>
    <row r="972" spans="1:15" x14ac:dyDescent="0.25">
      <c r="A972" t="s">
        <v>41</v>
      </c>
      <c r="B972" t="s">
        <v>3833</v>
      </c>
      <c r="C972" s="1">
        <v>60498706000157</v>
      </c>
      <c r="D972" t="s">
        <v>3834</v>
      </c>
      <c r="E972" t="s">
        <v>3399</v>
      </c>
      <c r="F972" t="s">
        <v>4</v>
      </c>
      <c r="G972">
        <v>4703002</v>
      </c>
      <c r="H972" t="s">
        <v>3835</v>
      </c>
      <c r="I972" t="s">
        <v>3836</v>
      </c>
      <c r="J972" t="s">
        <v>56</v>
      </c>
      <c r="K972">
        <v>11</v>
      </c>
      <c r="L972">
        <v>19</v>
      </c>
      <c r="M972">
        <v>2018</v>
      </c>
      <c r="N972" t="s">
        <v>47</v>
      </c>
      <c r="O972" s="5">
        <f>DATE(Tabela1[[#This Row],[vigencia ano]],Tabela1[[#This Row],[vigencia mês]],Tabela1[[#This Row],[vigencia dia]])</f>
        <v>43657</v>
      </c>
    </row>
    <row r="973" spans="1:15" x14ac:dyDescent="0.25">
      <c r="A973" t="s">
        <v>41</v>
      </c>
      <c r="B973" t="s">
        <v>3837</v>
      </c>
      <c r="C973" s="1">
        <v>6196077000165</v>
      </c>
      <c r="D973" t="s">
        <v>3838</v>
      </c>
      <c r="E973" t="s">
        <v>3399</v>
      </c>
      <c r="F973" t="s">
        <v>4</v>
      </c>
      <c r="G973">
        <v>5010040</v>
      </c>
      <c r="H973" t="s">
        <v>3839</v>
      </c>
      <c r="I973" t="s">
        <v>3840</v>
      </c>
      <c r="J973" t="s">
        <v>56</v>
      </c>
      <c r="K973">
        <v>4</v>
      </c>
      <c r="L973">
        <v>12</v>
      </c>
      <c r="M973">
        <v>2017</v>
      </c>
      <c r="N973" t="s">
        <v>47</v>
      </c>
      <c r="O973" s="5">
        <f>DATE(Tabela1[[#This Row],[vigencia ano]],Tabela1[[#This Row],[vigencia mês]],Tabela1[[#This Row],[vigencia dia]])</f>
        <v>43073</v>
      </c>
    </row>
    <row r="974" spans="1:15" x14ac:dyDescent="0.25">
      <c r="A974" t="s">
        <v>41</v>
      </c>
      <c r="B974" t="s">
        <v>3841</v>
      </c>
      <c r="C974" s="1">
        <v>26193944000116</v>
      </c>
      <c r="D974" t="s">
        <v>3842</v>
      </c>
      <c r="E974" t="s">
        <v>3399</v>
      </c>
      <c r="F974" t="s">
        <v>4</v>
      </c>
      <c r="G974">
        <v>2754000</v>
      </c>
      <c r="H974" t="s">
        <v>367</v>
      </c>
      <c r="I974" t="s">
        <v>3843</v>
      </c>
      <c r="J974" t="s">
        <v>56</v>
      </c>
      <c r="K974">
        <v>4</v>
      </c>
      <c r="L974">
        <v>20</v>
      </c>
      <c r="M974">
        <v>2032</v>
      </c>
      <c r="N974" t="s">
        <v>47</v>
      </c>
      <c r="O974" s="5">
        <f>DATE(Tabela1[[#This Row],[vigencia ano]],Tabela1[[#This Row],[vigencia mês]],Tabela1[[#This Row],[vigencia dia]])</f>
        <v>48795</v>
      </c>
    </row>
    <row r="975" spans="1:15" x14ac:dyDescent="0.25">
      <c r="A975" t="s">
        <v>41</v>
      </c>
      <c r="B975" t="s">
        <v>3844</v>
      </c>
      <c r="C975" s="1">
        <v>59530832000162</v>
      </c>
      <c r="D975" t="s">
        <v>3845</v>
      </c>
      <c r="E975" t="s">
        <v>3399</v>
      </c>
      <c r="F975" t="s">
        <v>4</v>
      </c>
      <c r="G975">
        <v>3164160</v>
      </c>
      <c r="H975" t="s">
        <v>3846</v>
      </c>
      <c r="I975" t="s">
        <v>3847</v>
      </c>
      <c r="J975" t="s">
        <v>56</v>
      </c>
      <c r="K975">
        <v>12</v>
      </c>
      <c r="L975">
        <v>3</v>
      </c>
      <c r="M975">
        <v>2025</v>
      </c>
      <c r="N975" t="s">
        <v>47</v>
      </c>
      <c r="O975" s="5">
        <f>DATE(Tabela1[[#This Row],[vigencia ano]],Tabela1[[#This Row],[vigencia mês]],Tabela1[[#This Row],[vigencia dia]])</f>
        <v>45728</v>
      </c>
    </row>
    <row r="976" spans="1:15" x14ac:dyDescent="0.25">
      <c r="A976" t="s">
        <v>41</v>
      </c>
      <c r="B976" t="s">
        <v>3848</v>
      </c>
      <c r="C976" s="1">
        <v>22326597000100</v>
      </c>
      <c r="D976" t="s">
        <v>3849</v>
      </c>
      <c r="E976" t="s">
        <v>3399</v>
      </c>
      <c r="F976" t="s">
        <v>4</v>
      </c>
      <c r="G976">
        <v>4342001</v>
      </c>
      <c r="H976" t="s">
        <v>3850</v>
      </c>
      <c r="I976" t="s">
        <v>3851</v>
      </c>
      <c r="J976" t="s">
        <v>56</v>
      </c>
      <c r="K976">
        <v>12</v>
      </c>
      <c r="L976">
        <v>12</v>
      </c>
      <c r="M976">
        <v>2026</v>
      </c>
      <c r="N976" t="s">
        <v>47</v>
      </c>
      <c r="O976" s="5">
        <f>DATE(Tabela1[[#This Row],[vigencia ano]],Tabela1[[#This Row],[vigencia mês]],Tabela1[[#This Row],[vigencia dia]])</f>
        <v>46368</v>
      </c>
    </row>
    <row r="977" spans="1:15" x14ac:dyDescent="0.25">
      <c r="A977" t="s">
        <v>41</v>
      </c>
      <c r="B977" t="s">
        <v>3852</v>
      </c>
      <c r="C977" s="1">
        <v>3729608000140</v>
      </c>
      <c r="D977" t="s">
        <v>3853</v>
      </c>
      <c r="E977" t="s">
        <v>3399</v>
      </c>
      <c r="F977" t="s">
        <v>4</v>
      </c>
      <c r="G977">
        <v>4711130</v>
      </c>
      <c r="H977" t="s">
        <v>3854</v>
      </c>
      <c r="I977" t="s">
        <v>3855</v>
      </c>
      <c r="J977" t="s">
        <v>56</v>
      </c>
      <c r="K977">
        <v>6</v>
      </c>
      <c r="L977">
        <v>29</v>
      </c>
      <c r="M977">
        <v>2033</v>
      </c>
      <c r="N977" t="s">
        <v>47</v>
      </c>
      <c r="O977" s="5">
        <f>DATE(Tabela1[[#This Row],[vigencia ano]],Tabela1[[#This Row],[vigencia mês]],Tabela1[[#This Row],[vigencia dia]])</f>
        <v>49435</v>
      </c>
    </row>
    <row r="978" spans="1:15" x14ac:dyDescent="0.25">
      <c r="A978" t="s">
        <v>41</v>
      </c>
      <c r="B978" t="s">
        <v>3856</v>
      </c>
      <c r="C978" s="1">
        <v>663389000155</v>
      </c>
      <c r="D978" t="s">
        <v>3857</v>
      </c>
      <c r="E978" t="s">
        <v>3399</v>
      </c>
      <c r="F978" t="s">
        <v>4</v>
      </c>
      <c r="G978">
        <v>1310910</v>
      </c>
      <c r="H978" t="s">
        <v>3858</v>
      </c>
      <c r="I978" t="s">
        <v>3859</v>
      </c>
      <c r="J978" t="s">
        <v>56</v>
      </c>
      <c r="K978">
        <v>1</v>
      </c>
      <c r="L978">
        <v>10</v>
      </c>
      <c r="M978">
        <v>2023</v>
      </c>
      <c r="N978" t="s">
        <v>47</v>
      </c>
      <c r="O978" s="5">
        <f>DATE(Tabela1[[#This Row],[vigencia ano]],Tabela1[[#This Row],[vigencia mês]],Tabela1[[#This Row],[vigencia dia]])</f>
        <v>45200</v>
      </c>
    </row>
    <row r="979" spans="1:15" x14ac:dyDescent="0.25">
      <c r="A979" t="s">
        <v>41</v>
      </c>
      <c r="B979" t="s">
        <v>3860</v>
      </c>
      <c r="C979" s="1">
        <v>42584754000186</v>
      </c>
      <c r="D979" t="s">
        <v>3861</v>
      </c>
      <c r="E979" t="s">
        <v>3399</v>
      </c>
      <c r="F979" t="s">
        <v>4</v>
      </c>
      <c r="G979">
        <v>4571900</v>
      </c>
      <c r="H979" t="s">
        <v>3862</v>
      </c>
      <c r="I979" t="s">
        <v>3863</v>
      </c>
      <c r="J979" t="s">
        <v>46</v>
      </c>
      <c r="K979">
        <v>5</v>
      </c>
      <c r="L979">
        <v>5</v>
      </c>
      <c r="M979">
        <v>2032</v>
      </c>
      <c r="N979" t="s">
        <v>47</v>
      </c>
      <c r="O979" s="5">
        <f>DATE(Tabela1[[#This Row],[vigencia ano]],Tabela1[[#This Row],[vigencia mês]],Tabela1[[#This Row],[vigencia dia]])</f>
        <v>48339</v>
      </c>
    </row>
    <row r="980" spans="1:15" x14ac:dyDescent="0.25">
      <c r="A980" t="s">
        <v>41</v>
      </c>
      <c r="B980" t="s">
        <v>3864</v>
      </c>
      <c r="C980" s="1">
        <v>11158812000186</v>
      </c>
      <c r="D980" t="s">
        <v>3865</v>
      </c>
      <c r="E980" t="s">
        <v>3399</v>
      </c>
      <c r="F980" t="s">
        <v>4</v>
      </c>
      <c r="G980">
        <v>2970030</v>
      </c>
      <c r="H980" t="s">
        <v>3866</v>
      </c>
      <c r="I980" t="s">
        <v>3867</v>
      </c>
      <c r="J980" t="s">
        <v>56</v>
      </c>
      <c r="K980">
        <v>9</v>
      </c>
      <c r="L980">
        <v>9</v>
      </c>
      <c r="M980">
        <v>2025</v>
      </c>
      <c r="N980" t="s">
        <v>47</v>
      </c>
      <c r="O980" s="5">
        <f>DATE(Tabela1[[#This Row],[vigencia ano]],Tabela1[[#This Row],[vigencia mês]],Tabela1[[#This Row],[vigencia dia]])</f>
        <v>45909</v>
      </c>
    </row>
    <row r="981" spans="1:15" x14ac:dyDescent="0.25">
      <c r="A981" t="s">
        <v>41</v>
      </c>
      <c r="B981" t="s">
        <v>3868</v>
      </c>
      <c r="C981" s="1">
        <v>3745461000181</v>
      </c>
      <c r="D981" t="s">
        <v>3869</v>
      </c>
      <c r="E981" t="s">
        <v>3399</v>
      </c>
      <c r="F981" t="s">
        <v>4</v>
      </c>
      <c r="G981">
        <v>2114010</v>
      </c>
      <c r="H981" t="s">
        <v>3870</v>
      </c>
      <c r="I981" t="s">
        <v>3871</v>
      </c>
      <c r="J981" t="s">
        <v>56</v>
      </c>
      <c r="K981">
        <v>4</v>
      </c>
      <c r="L981">
        <v>24</v>
      </c>
      <c r="M981">
        <v>2035</v>
      </c>
      <c r="N981" t="s">
        <v>3872</v>
      </c>
      <c r="O981" s="5">
        <f>DATE(Tabela1[[#This Row],[vigencia ano]],Tabela1[[#This Row],[vigencia mês]],Tabela1[[#This Row],[vigencia dia]])</f>
        <v>50013</v>
      </c>
    </row>
    <row r="982" spans="1:15" x14ac:dyDescent="0.25">
      <c r="A982" t="s">
        <v>41</v>
      </c>
      <c r="B982" t="s">
        <v>3868</v>
      </c>
      <c r="C982" s="1">
        <v>3745461000181</v>
      </c>
      <c r="D982" t="s">
        <v>3869</v>
      </c>
      <c r="E982" t="s">
        <v>3399</v>
      </c>
      <c r="F982" t="s">
        <v>4</v>
      </c>
      <c r="G982">
        <v>2114010</v>
      </c>
      <c r="H982" t="s">
        <v>3873</v>
      </c>
      <c r="I982" t="s">
        <v>3871</v>
      </c>
      <c r="J982" t="s">
        <v>56</v>
      </c>
      <c r="K982">
        <v>4</v>
      </c>
      <c r="L982">
        <v>24</v>
      </c>
      <c r="M982">
        <v>2035</v>
      </c>
      <c r="N982" t="s">
        <v>3872</v>
      </c>
      <c r="O982" s="5">
        <f>DATE(Tabela1[[#This Row],[vigencia ano]],Tabela1[[#This Row],[vigencia mês]],Tabela1[[#This Row],[vigencia dia]])</f>
        <v>50013</v>
      </c>
    </row>
    <row r="983" spans="1:15" x14ac:dyDescent="0.25">
      <c r="A983" t="s">
        <v>41</v>
      </c>
      <c r="B983" t="s">
        <v>3874</v>
      </c>
      <c r="C983" s="1">
        <v>8813540000104</v>
      </c>
      <c r="D983" t="s">
        <v>3875</v>
      </c>
      <c r="E983" t="s">
        <v>3399</v>
      </c>
      <c r="F983" t="s">
        <v>4</v>
      </c>
      <c r="G983">
        <v>69050001</v>
      </c>
      <c r="H983" t="s">
        <v>3876</v>
      </c>
      <c r="I983" t="s">
        <v>3877</v>
      </c>
      <c r="J983" t="s">
        <v>46</v>
      </c>
      <c r="K983">
        <v>11</v>
      </c>
      <c r="L983">
        <v>4</v>
      </c>
      <c r="M983">
        <v>2025</v>
      </c>
      <c r="N983" t="s">
        <v>47</v>
      </c>
      <c r="O983" s="5">
        <f>DATE(Tabela1[[#This Row],[vigencia ano]],Tabela1[[#This Row],[vigencia mês]],Tabela1[[#This Row],[vigencia dia]])</f>
        <v>45758</v>
      </c>
    </row>
    <row r="984" spans="1:15" x14ac:dyDescent="0.25">
      <c r="A984" t="s">
        <v>41</v>
      </c>
      <c r="B984" t="s">
        <v>3878</v>
      </c>
      <c r="C984" s="1">
        <v>52548435000179</v>
      </c>
      <c r="D984" t="s">
        <v>3879</v>
      </c>
      <c r="E984" t="s">
        <v>3399</v>
      </c>
      <c r="F984" t="s">
        <v>4</v>
      </c>
      <c r="G984">
        <v>4543011</v>
      </c>
      <c r="H984" t="s">
        <v>3880</v>
      </c>
      <c r="I984" t="s">
        <v>3881</v>
      </c>
      <c r="J984" t="s">
        <v>56</v>
      </c>
      <c r="K984">
        <v>7</v>
      </c>
      <c r="L984">
        <v>29</v>
      </c>
      <c r="M984">
        <v>2025</v>
      </c>
      <c r="N984" t="s">
        <v>47</v>
      </c>
      <c r="O984" s="5">
        <f>DATE(Tabela1[[#This Row],[vigencia ano]],Tabela1[[#This Row],[vigencia mês]],Tabela1[[#This Row],[vigencia dia]])</f>
        <v>46514</v>
      </c>
    </row>
    <row r="985" spans="1:15" x14ac:dyDescent="0.25">
      <c r="A985" t="s">
        <v>41</v>
      </c>
      <c r="B985" t="s">
        <v>3882</v>
      </c>
      <c r="C985" s="1">
        <v>2886427000164</v>
      </c>
      <c r="D985" t="s">
        <v>3883</v>
      </c>
      <c r="E985" t="s">
        <v>3399</v>
      </c>
      <c r="F985" t="s">
        <v>4</v>
      </c>
      <c r="G985">
        <v>4794000</v>
      </c>
      <c r="H985" t="s">
        <v>3884</v>
      </c>
      <c r="I985" t="s">
        <v>3885</v>
      </c>
      <c r="J985" t="s">
        <v>56</v>
      </c>
      <c r="K985">
        <v>3</v>
      </c>
      <c r="L985">
        <v>22</v>
      </c>
      <c r="M985">
        <v>2028</v>
      </c>
      <c r="N985" t="s">
        <v>47</v>
      </c>
      <c r="O985" s="5">
        <f>DATE(Tabela1[[#This Row],[vigencia ano]],Tabela1[[#This Row],[vigencia mês]],Tabela1[[#This Row],[vigencia dia]])</f>
        <v>47394</v>
      </c>
    </row>
    <row r="986" spans="1:15" x14ac:dyDescent="0.25">
      <c r="A986" t="s">
        <v>41</v>
      </c>
      <c r="B986" t="s">
        <v>3886</v>
      </c>
      <c r="C986" s="1">
        <v>11666171000170</v>
      </c>
      <c r="D986" t="s">
        <v>3887</v>
      </c>
      <c r="E986" t="s">
        <v>3399</v>
      </c>
      <c r="F986" t="s">
        <v>4</v>
      </c>
      <c r="G986">
        <v>1402901</v>
      </c>
      <c r="H986" t="s">
        <v>3888</v>
      </c>
      <c r="I986" t="s">
        <v>3889</v>
      </c>
      <c r="J986" t="s">
        <v>56</v>
      </c>
      <c r="K986">
        <v>10</v>
      </c>
      <c r="L986">
        <v>9</v>
      </c>
      <c r="M986">
        <v>2029</v>
      </c>
      <c r="N986" t="s">
        <v>47</v>
      </c>
      <c r="O986" s="5">
        <f>DATE(Tabela1[[#This Row],[vigencia ano]],Tabela1[[#This Row],[vigencia mês]],Tabela1[[#This Row],[vigencia dia]])</f>
        <v>47371</v>
      </c>
    </row>
    <row r="987" spans="1:15" x14ac:dyDescent="0.25">
      <c r="A987" t="s">
        <v>41</v>
      </c>
      <c r="B987" t="s">
        <v>3890</v>
      </c>
      <c r="C987" s="1">
        <v>945958000155</v>
      </c>
      <c r="D987" t="s">
        <v>3891</v>
      </c>
      <c r="E987" t="s">
        <v>3399</v>
      </c>
      <c r="F987" t="s">
        <v>4</v>
      </c>
      <c r="G987">
        <v>8340120</v>
      </c>
      <c r="H987" t="s">
        <v>3892</v>
      </c>
      <c r="I987" t="s">
        <v>3893</v>
      </c>
      <c r="J987" t="s">
        <v>56</v>
      </c>
      <c r="K987">
        <v>9</v>
      </c>
      <c r="L987">
        <v>17</v>
      </c>
      <c r="M987">
        <v>2018</v>
      </c>
      <c r="N987" t="s">
        <v>47</v>
      </c>
      <c r="O987" s="5">
        <f>DATE(Tabela1[[#This Row],[vigencia ano]],Tabela1[[#This Row],[vigencia mês]],Tabela1[[#This Row],[vigencia dia]])</f>
        <v>43594</v>
      </c>
    </row>
    <row r="988" spans="1:15" x14ac:dyDescent="0.25">
      <c r="A988" t="s">
        <v>41</v>
      </c>
      <c r="B988" t="s">
        <v>3890</v>
      </c>
      <c r="C988" s="1">
        <v>945958000155</v>
      </c>
      <c r="D988" t="s">
        <v>3891</v>
      </c>
      <c r="E988" t="s">
        <v>3399</v>
      </c>
      <c r="F988" t="s">
        <v>4</v>
      </c>
      <c r="G988">
        <v>8340120</v>
      </c>
      <c r="H988" t="s">
        <v>3894</v>
      </c>
      <c r="I988" t="s">
        <v>3893</v>
      </c>
      <c r="J988" t="s">
        <v>56</v>
      </c>
      <c r="K988">
        <v>9</v>
      </c>
      <c r="L988">
        <v>17</v>
      </c>
      <c r="M988">
        <v>2018</v>
      </c>
      <c r="N988" t="s">
        <v>47</v>
      </c>
      <c r="O988" s="5">
        <f>DATE(Tabela1[[#This Row],[vigencia ano]],Tabela1[[#This Row],[vigencia mês]],Tabela1[[#This Row],[vigencia dia]])</f>
        <v>43594</v>
      </c>
    </row>
    <row r="989" spans="1:15" x14ac:dyDescent="0.25">
      <c r="A989" t="s">
        <v>41</v>
      </c>
      <c r="B989" t="s">
        <v>3895</v>
      </c>
      <c r="C989" s="1">
        <v>52147923000174</v>
      </c>
      <c r="D989" t="s">
        <v>3896</v>
      </c>
      <c r="E989" t="s">
        <v>3399</v>
      </c>
      <c r="F989" t="s">
        <v>4</v>
      </c>
      <c r="G989">
        <v>5001100</v>
      </c>
      <c r="H989" t="s">
        <v>3897</v>
      </c>
      <c r="I989" t="s">
        <v>3898</v>
      </c>
      <c r="J989" t="s">
        <v>46</v>
      </c>
      <c r="K989">
        <v>7</v>
      </c>
      <c r="L989">
        <v>30</v>
      </c>
      <c r="M989">
        <v>2020</v>
      </c>
      <c r="N989" t="s">
        <v>47</v>
      </c>
      <c r="O989" s="5">
        <f>DATE(Tabela1[[#This Row],[vigencia ano]],Tabela1[[#This Row],[vigencia mês]],Tabela1[[#This Row],[vigencia dia]])</f>
        <v>44719</v>
      </c>
    </row>
    <row r="990" spans="1:15" x14ac:dyDescent="0.25">
      <c r="A990" t="s">
        <v>41</v>
      </c>
      <c r="B990" t="s">
        <v>3899</v>
      </c>
      <c r="C990" s="1">
        <v>10721342000154</v>
      </c>
      <c r="D990" t="s">
        <v>3900</v>
      </c>
      <c r="E990" t="s">
        <v>3399</v>
      </c>
      <c r="F990" t="s">
        <v>4</v>
      </c>
      <c r="G990">
        <v>5001100</v>
      </c>
      <c r="H990" t="s">
        <v>3901</v>
      </c>
      <c r="I990" t="s">
        <v>3902</v>
      </c>
      <c r="J990" t="s">
        <v>56</v>
      </c>
      <c r="K990">
        <v>11</v>
      </c>
      <c r="L990">
        <v>12</v>
      </c>
      <c r="M990">
        <v>2034</v>
      </c>
      <c r="N990" t="s">
        <v>47</v>
      </c>
      <c r="O990" s="5">
        <f>DATE(Tabela1[[#This Row],[vigencia ano]],Tabela1[[#This Row],[vigencia mês]],Tabela1[[#This Row],[vigencia dia]])</f>
        <v>49289</v>
      </c>
    </row>
    <row r="991" spans="1:15" x14ac:dyDescent="0.25">
      <c r="A991" t="s">
        <v>41</v>
      </c>
      <c r="B991" t="s">
        <v>3903</v>
      </c>
      <c r="C991" s="1">
        <v>61288940000112</v>
      </c>
      <c r="D991" t="s">
        <v>3904</v>
      </c>
      <c r="E991" t="s">
        <v>3399</v>
      </c>
      <c r="F991" t="s">
        <v>4</v>
      </c>
      <c r="G991">
        <v>4578000</v>
      </c>
      <c r="H991" t="s">
        <v>3905</v>
      </c>
      <c r="I991" t="s">
        <v>3906</v>
      </c>
      <c r="J991" t="s">
        <v>56</v>
      </c>
      <c r="K991">
        <v>3</v>
      </c>
      <c r="L991">
        <v>26</v>
      </c>
      <c r="M991">
        <v>2019</v>
      </c>
      <c r="N991" t="s">
        <v>47</v>
      </c>
      <c r="O991" s="5">
        <f>DATE(Tabela1[[#This Row],[vigencia ano]],Tabela1[[#This Row],[vigencia mês]],Tabela1[[#This Row],[vigencia dia]])</f>
        <v>44230</v>
      </c>
    </row>
    <row r="992" spans="1:15" x14ac:dyDescent="0.25">
      <c r="A992" t="s">
        <v>41</v>
      </c>
      <c r="B992" t="s">
        <v>3903</v>
      </c>
      <c r="C992" s="1">
        <v>61288940000112</v>
      </c>
      <c r="D992" t="s">
        <v>3904</v>
      </c>
      <c r="E992" t="s">
        <v>3399</v>
      </c>
      <c r="F992" t="s">
        <v>4</v>
      </c>
      <c r="G992">
        <v>4578000</v>
      </c>
      <c r="H992" t="s">
        <v>3907</v>
      </c>
      <c r="I992" t="s">
        <v>3906</v>
      </c>
      <c r="J992" t="s">
        <v>56</v>
      </c>
      <c r="K992">
        <v>3</v>
      </c>
      <c r="L992">
        <v>26</v>
      </c>
      <c r="M992">
        <v>2019</v>
      </c>
      <c r="N992" t="s">
        <v>47</v>
      </c>
      <c r="O992" s="5">
        <f>DATE(Tabela1[[#This Row],[vigencia ano]],Tabela1[[#This Row],[vigencia mês]],Tabela1[[#This Row],[vigencia dia]])</f>
        <v>44230</v>
      </c>
    </row>
    <row r="993" spans="1:15" x14ac:dyDescent="0.25">
      <c r="A993" t="s">
        <v>41</v>
      </c>
      <c r="B993" t="s">
        <v>3908</v>
      </c>
      <c r="C993" s="1">
        <v>24292471000189</v>
      </c>
      <c r="D993" t="s">
        <v>3909</v>
      </c>
      <c r="E993" t="s">
        <v>3399</v>
      </c>
      <c r="F993" t="s">
        <v>4</v>
      </c>
      <c r="G993">
        <v>5425020</v>
      </c>
      <c r="H993" t="s">
        <v>718</v>
      </c>
      <c r="I993" t="s">
        <v>3910</v>
      </c>
      <c r="J993" t="s">
        <v>46</v>
      </c>
      <c r="K993">
        <v>7</v>
      </c>
      <c r="L993">
        <v>4</v>
      </c>
      <c r="M993">
        <v>2027</v>
      </c>
      <c r="N993" t="s">
        <v>47</v>
      </c>
      <c r="O993" s="5">
        <f>DATE(Tabela1[[#This Row],[vigencia ano]],Tabela1[[#This Row],[vigencia mês]],Tabela1[[#This Row],[vigencia dia]])</f>
        <v>46484</v>
      </c>
    </row>
    <row r="994" spans="1:15" x14ac:dyDescent="0.25">
      <c r="A994" t="s">
        <v>41</v>
      </c>
      <c r="B994" t="s">
        <v>3911</v>
      </c>
      <c r="C994" s="1">
        <v>14820318000123</v>
      </c>
      <c r="D994" t="s">
        <v>3912</v>
      </c>
      <c r="E994" t="s">
        <v>3399</v>
      </c>
      <c r="F994" t="s">
        <v>4</v>
      </c>
      <c r="G994">
        <v>5425020</v>
      </c>
      <c r="H994" t="s">
        <v>718</v>
      </c>
      <c r="I994" t="s">
        <v>3913</v>
      </c>
      <c r="J994" t="s">
        <v>46</v>
      </c>
      <c r="K994">
        <v>7</v>
      </c>
      <c r="L994">
        <v>18</v>
      </c>
      <c r="M994">
        <v>2027</v>
      </c>
      <c r="N994" t="s">
        <v>47</v>
      </c>
      <c r="O994" s="5">
        <f>DATE(Tabela1[[#This Row],[vigencia ano]],Tabela1[[#This Row],[vigencia mês]],Tabela1[[#This Row],[vigencia dia]])</f>
        <v>46911</v>
      </c>
    </row>
    <row r="995" spans="1:15" x14ac:dyDescent="0.25">
      <c r="A995" t="s">
        <v>41</v>
      </c>
      <c r="B995" t="s">
        <v>3914</v>
      </c>
      <c r="C995" s="1">
        <v>8317007000143</v>
      </c>
      <c r="D995" t="s">
        <v>3915</v>
      </c>
      <c r="E995" t="s">
        <v>3399</v>
      </c>
      <c r="F995" t="s">
        <v>4</v>
      </c>
      <c r="G995">
        <v>2912030</v>
      </c>
      <c r="H995" t="s">
        <v>3605</v>
      </c>
      <c r="I995" t="s">
        <v>3916</v>
      </c>
      <c r="J995" t="s">
        <v>56</v>
      </c>
      <c r="K995">
        <v>4</v>
      </c>
      <c r="L995">
        <v>1</v>
      </c>
      <c r="M995">
        <v>2029</v>
      </c>
      <c r="N995" t="s">
        <v>47</v>
      </c>
      <c r="O995" s="5">
        <f>DATE(Tabela1[[#This Row],[vigencia ano]],Tabela1[[#This Row],[vigencia mês]],Tabela1[[#This Row],[vigencia dia]])</f>
        <v>47122</v>
      </c>
    </row>
    <row r="996" spans="1:15" x14ac:dyDescent="0.25">
      <c r="A996" t="s">
        <v>41</v>
      </c>
      <c r="B996" t="s">
        <v>3917</v>
      </c>
      <c r="C996" s="1">
        <v>6229799000179</v>
      </c>
      <c r="D996" t="s">
        <v>3918</v>
      </c>
      <c r="E996" t="s">
        <v>3399</v>
      </c>
      <c r="F996" t="s">
        <v>4</v>
      </c>
      <c r="G996">
        <v>5116090</v>
      </c>
      <c r="H996" t="s">
        <v>3546</v>
      </c>
      <c r="I996" t="s">
        <v>3919</v>
      </c>
      <c r="J996" t="s">
        <v>56</v>
      </c>
      <c r="K996">
        <v>10</v>
      </c>
      <c r="L996">
        <v>10</v>
      </c>
      <c r="M996">
        <v>2024</v>
      </c>
      <c r="N996" t="s">
        <v>47</v>
      </c>
      <c r="O996" s="5">
        <f>DATE(Tabela1[[#This Row],[vigencia ano]],Tabela1[[#This Row],[vigencia mês]],Tabela1[[#This Row],[vigencia dia]])</f>
        <v>45575</v>
      </c>
    </row>
    <row r="997" spans="1:15" x14ac:dyDescent="0.25">
      <c r="A997" t="s">
        <v>41</v>
      </c>
      <c r="B997" t="s">
        <v>3920</v>
      </c>
      <c r="C997" s="1">
        <v>9366061000141</v>
      </c>
      <c r="D997" t="s">
        <v>3921</v>
      </c>
      <c r="E997" t="s">
        <v>3399</v>
      </c>
      <c r="F997" t="s">
        <v>4</v>
      </c>
      <c r="G997">
        <v>2331003</v>
      </c>
      <c r="H997" t="s">
        <v>3922</v>
      </c>
      <c r="I997" t="s">
        <v>3923</v>
      </c>
      <c r="J997" t="s">
        <v>56</v>
      </c>
      <c r="K997">
        <v>3</v>
      </c>
      <c r="L997">
        <v>1</v>
      </c>
      <c r="M997">
        <v>2033</v>
      </c>
      <c r="N997" t="s">
        <v>47</v>
      </c>
      <c r="O997" s="5">
        <f>DATE(Tabela1[[#This Row],[vigencia ano]],Tabela1[[#This Row],[vigencia mês]],Tabela1[[#This Row],[vigencia dia]])</f>
        <v>48582</v>
      </c>
    </row>
    <row r="998" spans="1:15" x14ac:dyDescent="0.25">
      <c r="A998" t="s">
        <v>41</v>
      </c>
      <c r="B998" t="s">
        <v>3924</v>
      </c>
      <c r="C998" s="1">
        <v>7328036000148</v>
      </c>
      <c r="D998" t="s">
        <v>3925</v>
      </c>
      <c r="E998" t="s">
        <v>3399</v>
      </c>
      <c r="F998" t="s">
        <v>4</v>
      </c>
      <c r="G998">
        <v>4634030</v>
      </c>
      <c r="H998" t="s">
        <v>3926</v>
      </c>
      <c r="I998" t="s">
        <v>3927</v>
      </c>
      <c r="J998" t="s">
        <v>56</v>
      </c>
      <c r="K998">
        <v>11</v>
      </c>
      <c r="L998">
        <v>8</v>
      </c>
      <c r="M998">
        <v>2029</v>
      </c>
      <c r="N998" t="s">
        <v>47</v>
      </c>
      <c r="O998" s="5">
        <f>DATE(Tabela1[[#This Row],[vigencia ano]],Tabela1[[#This Row],[vigencia mês]],Tabela1[[#This Row],[vigencia dia]])</f>
        <v>47341</v>
      </c>
    </row>
    <row r="999" spans="1:15" x14ac:dyDescent="0.25">
      <c r="A999" t="s">
        <v>41</v>
      </c>
      <c r="B999" t="s">
        <v>3928</v>
      </c>
      <c r="C999" s="1">
        <v>14657460000100</v>
      </c>
      <c r="D999" t="s">
        <v>3929</v>
      </c>
      <c r="E999" t="s">
        <v>3399</v>
      </c>
      <c r="F999" t="s">
        <v>4</v>
      </c>
      <c r="G999">
        <v>4531011</v>
      </c>
      <c r="H999" t="s">
        <v>3930</v>
      </c>
      <c r="I999" t="s">
        <v>3931</v>
      </c>
      <c r="J999" t="s">
        <v>56</v>
      </c>
      <c r="K999">
        <v>8</v>
      </c>
      <c r="L999">
        <v>28</v>
      </c>
      <c r="M999">
        <v>2035</v>
      </c>
      <c r="N999" t="s">
        <v>3932</v>
      </c>
      <c r="O999" s="5">
        <f>DATE(Tabela1[[#This Row],[vigencia ano]],Tabela1[[#This Row],[vigencia mês]],Tabela1[[#This Row],[vigencia dia]])</f>
        <v>50138</v>
      </c>
    </row>
    <row r="1000" spans="1:15" x14ac:dyDescent="0.25">
      <c r="A1000" t="s">
        <v>41</v>
      </c>
      <c r="B1000" t="s">
        <v>3928</v>
      </c>
      <c r="C1000" s="1">
        <v>14657460000100</v>
      </c>
      <c r="D1000" t="s">
        <v>3929</v>
      </c>
      <c r="E1000" t="s">
        <v>3399</v>
      </c>
      <c r="F1000" t="s">
        <v>4</v>
      </c>
      <c r="G1000">
        <v>4531011</v>
      </c>
      <c r="H1000" t="s">
        <v>3933</v>
      </c>
      <c r="I1000" t="s">
        <v>3931</v>
      </c>
      <c r="J1000" t="s">
        <v>56</v>
      </c>
      <c r="K1000">
        <v>8</v>
      </c>
      <c r="L1000">
        <v>28</v>
      </c>
      <c r="M1000">
        <v>2035</v>
      </c>
      <c r="N1000" t="s">
        <v>3932</v>
      </c>
      <c r="O1000" s="5">
        <f>DATE(Tabela1[[#This Row],[vigencia ano]],Tabela1[[#This Row],[vigencia mês]],Tabela1[[#This Row],[vigencia dia]])</f>
        <v>50138</v>
      </c>
    </row>
    <row r="1001" spans="1:15" x14ac:dyDescent="0.25">
      <c r="A1001" t="s">
        <v>41</v>
      </c>
      <c r="B1001" t="s">
        <v>3934</v>
      </c>
      <c r="C1001" s="1">
        <v>10719208000119</v>
      </c>
      <c r="D1001" t="s">
        <v>3935</v>
      </c>
      <c r="E1001" t="s">
        <v>3399</v>
      </c>
      <c r="F1001" t="s">
        <v>4</v>
      </c>
      <c r="G1001">
        <v>3173010</v>
      </c>
      <c r="H1001" t="s">
        <v>3936</v>
      </c>
      <c r="I1001" t="s">
        <v>3937</v>
      </c>
      <c r="J1001" t="s">
        <v>56</v>
      </c>
      <c r="K1001">
        <v>6</v>
      </c>
      <c r="L1001">
        <v>22</v>
      </c>
      <c r="M1001">
        <v>2031</v>
      </c>
      <c r="N1001" t="s">
        <v>47</v>
      </c>
      <c r="O1001" s="5">
        <f>DATE(Tabela1[[#This Row],[vigencia ano]],Tabela1[[#This Row],[vigencia mês]],Tabela1[[#This Row],[vigencia dia]])</f>
        <v>48493</v>
      </c>
    </row>
    <row r="1002" spans="1:15" x14ac:dyDescent="0.25">
      <c r="A1002" t="s">
        <v>41</v>
      </c>
      <c r="B1002" t="s">
        <v>3938</v>
      </c>
      <c r="C1002" s="1">
        <v>5317708000194</v>
      </c>
      <c r="D1002" t="s">
        <v>3939</v>
      </c>
      <c r="E1002" t="s">
        <v>3399</v>
      </c>
      <c r="F1002" t="s">
        <v>4</v>
      </c>
      <c r="G1002">
        <v>3183000</v>
      </c>
      <c r="H1002" t="s">
        <v>3940</v>
      </c>
      <c r="I1002" t="s">
        <v>3941</v>
      </c>
      <c r="J1002" t="s">
        <v>56</v>
      </c>
      <c r="K1002">
        <v>9</v>
      </c>
      <c r="L1002">
        <v>19</v>
      </c>
      <c r="M1002">
        <v>2023</v>
      </c>
      <c r="N1002" t="s">
        <v>47</v>
      </c>
      <c r="O1002" s="5">
        <f>DATE(Tabela1[[#This Row],[vigencia ano]],Tabela1[[#This Row],[vigencia mês]],Tabela1[[#This Row],[vigencia dia]])</f>
        <v>45482</v>
      </c>
    </row>
    <row r="1003" spans="1:15" x14ac:dyDescent="0.25">
      <c r="A1003" t="s">
        <v>41</v>
      </c>
      <c r="B1003" t="s">
        <v>3942</v>
      </c>
      <c r="C1003" s="1">
        <v>7066037000161</v>
      </c>
      <c r="D1003" t="s">
        <v>3943</v>
      </c>
      <c r="E1003" t="s">
        <v>3399</v>
      </c>
      <c r="F1003" t="s">
        <v>4</v>
      </c>
      <c r="G1003">
        <v>1414901</v>
      </c>
      <c r="H1003" t="s">
        <v>3944</v>
      </c>
      <c r="I1003" t="s">
        <v>3945</v>
      </c>
      <c r="J1003" t="s">
        <v>56</v>
      </c>
      <c r="K1003">
        <v>1</v>
      </c>
      <c r="L1003">
        <v>18</v>
      </c>
      <c r="M1003">
        <v>2029</v>
      </c>
      <c r="N1003" t="s">
        <v>47</v>
      </c>
      <c r="O1003" s="5">
        <f>DATE(Tabela1[[#This Row],[vigencia ano]],Tabela1[[#This Row],[vigencia mês]],Tabela1[[#This Row],[vigencia dia]])</f>
        <v>47635</v>
      </c>
    </row>
    <row r="1004" spans="1:15" x14ac:dyDescent="0.25">
      <c r="A1004" t="s">
        <v>41</v>
      </c>
      <c r="B1004" t="s">
        <v>3946</v>
      </c>
      <c r="C1004" s="1">
        <v>5551328000110</v>
      </c>
      <c r="D1004" t="s">
        <v>3947</v>
      </c>
      <c r="E1004" t="s">
        <v>3399</v>
      </c>
      <c r="F1004" t="s">
        <v>4</v>
      </c>
      <c r="G1004">
        <v>1246080</v>
      </c>
      <c r="H1004" t="s">
        <v>3948</v>
      </c>
      <c r="I1004" t="s">
        <v>3949</v>
      </c>
      <c r="J1004" t="s">
        <v>56</v>
      </c>
      <c r="K1004">
        <v>10</v>
      </c>
      <c r="L1004">
        <v>20</v>
      </c>
      <c r="M1004">
        <v>2025</v>
      </c>
      <c r="N1004" t="s">
        <v>47</v>
      </c>
      <c r="O1004" s="5">
        <f>DATE(Tabela1[[#This Row],[vigencia ano]],Tabela1[[#This Row],[vigencia mês]],Tabela1[[#This Row],[vigencia dia]])</f>
        <v>46244</v>
      </c>
    </row>
    <row r="1005" spans="1:15" x14ac:dyDescent="0.25">
      <c r="A1005" t="s">
        <v>41</v>
      </c>
      <c r="B1005" t="s">
        <v>3950</v>
      </c>
      <c r="C1005" s="1">
        <v>47053481000167</v>
      </c>
      <c r="D1005" t="s">
        <v>3951</v>
      </c>
      <c r="E1005" t="s">
        <v>3399</v>
      </c>
      <c r="F1005" t="s">
        <v>4</v>
      </c>
      <c r="G1005">
        <v>4571000</v>
      </c>
      <c r="H1005" t="s">
        <v>367</v>
      </c>
      <c r="I1005" t="s">
        <v>3952</v>
      </c>
      <c r="J1005" t="s">
        <v>56</v>
      </c>
      <c r="K1005">
        <v>11</v>
      </c>
      <c r="L1005">
        <v>22</v>
      </c>
      <c r="M1005">
        <v>2032</v>
      </c>
      <c r="N1005" t="s">
        <v>47</v>
      </c>
      <c r="O1005" s="5">
        <f>DATE(Tabela1[[#This Row],[vigencia ano]],Tabela1[[#This Row],[vigencia mês]],Tabela1[[#This Row],[vigencia dia]])</f>
        <v>48863</v>
      </c>
    </row>
    <row r="1006" spans="1:15" x14ac:dyDescent="0.25">
      <c r="A1006" t="s">
        <v>41</v>
      </c>
      <c r="B1006" t="s">
        <v>3953</v>
      </c>
      <c r="C1006" s="1">
        <v>32886824000105</v>
      </c>
      <c r="D1006" t="s">
        <v>3954</v>
      </c>
      <c r="E1006" t="s">
        <v>3399</v>
      </c>
      <c r="F1006" t="s">
        <v>4</v>
      </c>
      <c r="G1006">
        <v>1501000</v>
      </c>
      <c r="H1006" t="s">
        <v>3955</v>
      </c>
      <c r="I1006" t="s">
        <v>3956</v>
      </c>
      <c r="J1006" t="s">
        <v>56</v>
      </c>
      <c r="K1006">
        <v>7</v>
      </c>
      <c r="L1006">
        <v>1</v>
      </c>
      <c r="M1006">
        <v>2029</v>
      </c>
      <c r="N1006" t="s">
        <v>47</v>
      </c>
      <c r="O1006" s="5">
        <f>DATE(Tabela1[[#This Row],[vigencia ano]],Tabela1[[#This Row],[vigencia mês]],Tabela1[[#This Row],[vigencia dia]])</f>
        <v>47125</v>
      </c>
    </row>
    <row r="1007" spans="1:15" x14ac:dyDescent="0.25">
      <c r="A1007" t="s">
        <v>41</v>
      </c>
      <c r="B1007" t="s">
        <v>3957</v>
      </c>
      <c r="C1007" s="1">
        <v>15865630000104</v>
      </c>
      <c r="D1007" t="s">
        <v>3958</v>
      </c>
      <c r="E1007" t="s">
        <v>3399</v>
      </c>
      <c r="F1007" t="s">
        <v>4</v>
      </c>
      <c r="G1007">
        <v>4204002</v>
      </c>
      <c r="H1007" t="s">
        <v>3959</v>
      </c>
      <c r="I1007" t="s">
        <v>3960</v>
      </c>
      <c r="J1007" t="s">
        <v>56</v>
      </c>
      <c r="K1007">
        <v>10</v>
      </c>
      <c r="L1007">
        <v>2</v>
      </c>
      <c r="M1007">
        <v>2035</v>
      </c>
      <c r="N1007" t="s">
        <v>3961</v>
      </c>
      <c r="O1007" s="5">
        <f>DATE(Tabela1[[#This Row],[vigencia ano]],Tabela1[[#This Row],[vigencia mês]],Tabela1[[#This Row],[vigencia dia]])</f>
        <v>49350</v>
      </c>
    </row>
    <row r="1008" spans="1:15" x14ac:dyDescent="0.25">
      <c r="A1008" t="s">
        <v>41</v>
      </c>
      <c r="B1008" t="s">
        <v>3957</v>
      </c>
      <c r="C1008" s="1">
        <v>15865630000104</v>
      </c>
      <c r="D1008" t="s">
        <v>3958</v>
      </c>
      <c r="E1008" t="s">
        <v>3399</v>
      </c>
      <c r="F1008" t="s">
        <v>4</v>
      </c>
      <c r="G1008">
        <v>4204002</v>
      </c>
      <c r="H1008" t="s">
        <v>3962</v>
      </c>
      <c r="I1008" t="s">
        <v>3960</v>
      </c>
      <c r="J1008" t="s">
        <v>56</v>
      </c>
      <c r="K1008">
        <v>10</v>
      </c>
      <c r="L1008">
        <v>2</v>
      </c>
      <c r="M1008">
        <v>2035</v>
      </c>
      <c r="N1008" t="s">
        <v>3961</v>
      </c>
      <c r="O1008" s="5">
        <f>DATE(Tabela1[[#This Row],[vigencia ano]],Tabela1[[#This Row],[vigencia mês]],Tabela1[[#This Row],[vigencia dia]])</f>
        <v>49350</v>
      </c>
    </row>
    <row r="1009" spans="1:15" x14ac:dyDescent="0.25">
      <c r="A1009" t="s">
        <v>41</v>
      </c>
      <c r="B1009" t="s">
        <v>3963</v>
      </c>
      <c r="C1009" s="1">
        <v>57692055000127</v>
      </c>
      <c r="D1009" t="s">
        <v>3964</v>
      </c>
      <c r="E1009" t="s">
        <v>3399</v>
      </c>
      <c r="F1009" t="s">
        <v>4</v>
      </c>
      <c r="G1009">
        <v>5106000</v>
      </c>
      <c r="H1009" t="s">
        <v>3965</v>
      </c>
      <c r="I1009" t="s">
        <v>3966</v>
      </c>
      <c r="J1009" t="s">
        <v>56</v>
      </c>
      <c r="K1009">
        <v>6</v>
      </c>
      <c r="L1009">
        <v>7</v>
      </c>
      <c r="M1009">
        <v>2015</v>
      </c>
      <c r="N1009" t="s">
        <v>47</v>
      </c>
      <c r="O1009" s="5">
        <f>DATE(Tabela1[[#This Row],[vigencia ano]],Tabela1[[#This Row],[vigencia mês]],Tabela1[[#This Row],[vigencia dia]])</f>
        <v>42191</v>
      </c>
    </row>
    <row r="1010" spans="1:15" x14ac:dyDescent="0.25">
      <c r="A1010" t="s">
        <v>41</v>
      </c>
      <c r="B1010" t="s">
        <v>3967</v>
      </c>
      <c r="C1010" s="1">
        <v>7655407000104</v>
      </c>
      <c r="D1010" t="s">
        <v>3968</v>
      </c>
      <c r="E1010" t="s">
        <v>3399</v>
      </c>
      <c r="F1010" t="s">
        <v>4</v>
      </c>
      <c r="G1010">
        <v>2117022</v>
      </c>
      <c r="H1010" t="s">
        <v>3969</v>
      </c>
      <c r="I1010" t="s">
        <v>3970</v>
      </c>
      <c r="J1010" t="s">
        <v>56</v>
      </c>
      <c r="K1010">
        <v>12</v>
      </c>
      <c r="L1010">
        <v>29</v>
      </c>
      <c r="M1010">
        <v>2030</v>
      </c>
      <c r="N1010" t="s">
        <v>47</v>
      </c>
      <c r="O1010" s="5">
        <f>DATE(Tabela1[[#This Row],[vigencia ano]],Tabela1[[#This Row],[vigencia mês]],Tabela1[[#This Row],[vigencia dia]])</f>
        <v>48346</v>
      </c>
    </row>
    <row r="1011" spans="1:15" x14ac:dyDescent="0.25">
      <c r="A1011" t="s">
        <v>41</v>
      </c>
      <c r="B1011" t="s">
        <v>3971</v>
      </c>
      <c r="C1011" s="1">
        <v>60876265000180</v>
      </c>
      <c r="D1011" t="s">
        <v>3972</v>
      </c>
      <c r="E1011" t="s">
        <v>3399</v>
      </c>
      <c r="F1011" t="s">
        <v>4</v>
      </c>
      <c r="G1011">
        <v>1037001</v>
      </c>
      <c r="H1011" t="s">
        <v>3973</v>
      </c>
      <c r="I1011" t="s">
        <v>3974</v>
      </c>
      <c r="J1011" t="s">
        <v>56</v>
      </c>
      <c r="K1011">
        <v>4</v>
      </c>
      <c r="L1011">
        <v>12</v>
      </c>
      <c r="M1011">
        <v>2026</v>
      </c>
      <c r="N1011" t="s">
        <v>47</v>
      </c>
      <c r="O1011" s="5">
        <f>DATE(Tabela1[[#This Row],[vigencia ano]],Tabela1[[#This Row],[vigencia mês]],Tabela1[[#This Row],[vigencia dia]])</f>
        <v>46360</v>
      </c>
    </row>
    <row r="1012" spans="1:15" x14ac:dyDescent="0.25">
      <c r="A1012" t="s">
        <v>41</v>
      </c>
      <c r="B1012" t="s">
        <v>3975</v>
      </c>
      <c r="C1012" s="1">
        <v>4142031000138</v>
      </c>
      <c r="D1012" t="s">
        <v>3976</v>
      </c>
      <c r="E1012" t="s">
        <v>3399</v>
      </c>
      <c r="F1012" t="s">
        <v>4</v>
      </c>
      <c r="G1012">
        <v>5074020</v>
      </c>
      <c r="H1012" t="s">
        <v>3977</v>
      </c>
      <c r="I1012" t="s">
        <v>3978</v>
      </c>
      <c r="J1012" t="s">
        <v>56</v>
      </c>
      <c r="K1012">
        <v>9</v>
      </c>
      <c r="L1012">
        <v>9</v>
      </c>
      <c r="M1012">
        <v>2025</v>
      </c>
      <c r="N1012" t="s">
        <v>47</v>
      </c>
      <c r="O1012" s="5">
        <f>DATE(Tabela1[[#This Row],[vigencia ano]],Tabela1[[#This Row],[vigencia mês]],Tabela1[[#This Row],[vigencia dia]])</f>
        <v>45909</v>
      </c>
    </row>
    <row r="1013" spans="1:15" x14ac:dyDescent="0.25">
      <c r="A1013" t="s">
        <v>41</v>
      </c>
      <c r="B1013" t="s">
        <v>3979</v>
      </c>
      <c r="C1013" s="1">
        <v>21174348000175</v>
      </c>
      <c r="D1013" t="s">
        <v>3980</v>
      </c>
      <c r="E1013" t="s">
        <v>3399</v>
      </c>
      <c r="F1013" t="s">
        <v>4</v>
      </c>
      <c r="G1013">
        <v>5074020</v>
      </c>
      <c r="H1013" t="s">
        <v>3977</v>
      </c>
      <c r="I1013" t="s">
        <v>3981</v>
      </c>
      <c r="J1013" t="s">
        <v>56</v>
      </c>
      <c r="K1013">
        <v>9</v>
      </c>
      <c r="L1013">
        <v>9</v>
      </c>
      <c r="M1013">
        <v>2025</v>
      </c>
      <c r="N1013" t="s">
        <v>47</v>
      </c>
      <c r="O1013" s="5">
        <f>DATE(Tabela1[[#This Row],[vigencia ano]],Tabela1[[#This Row],[vigencia mês]],Tabela1[[#This Row],[vigencia dia]])</f>
        <v>45909</v>
      </c>
    </row>
    <row r="1014" spans="1:15" x14ac:dyDescent="0.25">
      <c r="A1014" t="s">
        <v>41</v>
      </c>
      <c r="B1014" t="s">
        <v>3982</v>
      </c>
      <c r="C1014" s="1">
        <v>31415174000149</v>
      </c>
      <c r="D1014" t="s">
        <v>3983</v>
      </c>
      <c r="E1014" t="s">
        <v>3399</v>
      </c>
      <c r="F1014" t="s">
        <v>4</v>
      </c>
      <c r="G1014">
        <v>5503001</v>
      </c>
      <c r="H1014" t="s">
        <v>2705</v>
      </c>
      <c r="I1014" t="s">
        <v>3984</v>
      </c>
      <c r="J1014" t="s">
        <v>46</v>
      </c>
      <c r="K1014">
        <v>5</v>
      </c>
      <c r="L1014">
        <v>3</v>
      </c>
      <c r="M1014">
        <v>2029</v>
      </c>
      <c r="N1014" t="s">
        <v>47</v>
      </c>
      <c r="O1014" s="5">
        <f>DATE(Tabela1[[#This Row],[vigencia ano]],Tabela1[[#This Row],[vigencia mês]],Tabela1[[#This Row],[vigencia dia]])</f>
        <v>47182</v>
      </c>
    </row>
    <row r="1015" spans="1:15" x14ac:dyDescent="0.25">
      <c r="A1015" t="s">
        <v>41</v>
      </c>
      <c r="B1015" t="s">
        <v>3985</v>
      </c>
      <c r="C1015" s="1">
        <v>711083000127</v>
      </c>
      <c r="D1015" t="s">
        <v>3986</v>
      </c>
      <c r="E1015" t="s">
        <v>3399</v>
      </c>
      <c r="F1015" t="s">
        <v>4</v>
      </c>
      <c r="G1015">
        <v>4530001</v>
      </c>
      <c r="H1015" t="s">
        <v>3987</v>
      </c>
      <c r="I1015" t="s">
        <v>3988</v>
      </c>
      <c r="J1015" t="s">
        <v>46</v>
      </c>
      <c r="K1015">
        <v>7</v>
      </c>
      <c r="L1015">
        <v>5</v>
      </c>
      <c r="M1015">
        <v>2027</v>
      </c>
      <c r="N1015" t="s">
        <v>47</v>
      </c>
      <c r="O1015" s="5">
        <f>DATE(Tabela1[[#This Row],[vigencia ano]],Tabela1[[#This Row],[vigencia mês]],Tabela1[[#This Row],[vigencia dia]])</f>
        <v>46514</v>
      </c>
    </row>
    <row r="1016" spans="1:15" x14ac:dyDescent="0.25">
      <c r="A1016" t="s">
        <v>41</v>
      </c>
      <c r="B1016" t="s">
        <v>3989</v>
      </c>
      <c r="C1016" s="1">
        <v>6315715000110</v>
      </c>
      <c r="D1016" t="s">
        <v>3990</v>
      </c>
      <c r="E1016" t="s">
        <v>3399</v>
      </c>
      <c r="F1016" t="s">
        <v>4</v>
      </c>
      <c r="G1016">
        <v>2060000</v>
      </c>
      <c r="H1016" t="s">
        <v>3991</v>
      </c>
      <c r="I1016" t="s">
        <v>3992</v>
      </c>
      <c r="J1016" t="s">
        <v>56</v>
      </c>
      <c r="K1016">
        <v>9</v>
      </c>
      <c r="L1016">
        <v>10</v>
      </c>
      <c r="M1016">
        <v>2024</v>
      </c>
      <c r="N1016" t="s">
        <v>47</v>
      </c>
      <c r="O1016" s="5">
        <f>DATE(Tabela1[[#This Row],[vigencia ano]],Tabela1[[#This Row],[vigencia mês]],Tabela1[[#This Row],[vigencia dia]])</f>
        <v>45574</v>
      </c>
    </row>
    <row r="1017" spans="1:15" x14ac:dyDescent="0.25">
      <c r="A1017" t="s">
        <v>41</v>
      </c>
      <c r="B1017" t="s">
        <v>3993</v>
      </c>
      <c r="C1017" s="1">
        <v>28277393000102</v>
      </c>
      <c r="D1017" t="s">
        <v>3994</v>
      </c>
      <c r="E1017" t="s">
        <v>3399</v>
      </c>
      <c r="F1017" t="s">
        <v>4</v>
      </c>
      <c r="G1017">
        <v>11013020</v>
      </c>
      <c r="H1017" t="s">
        <v>3995</v>
      </c>
      <c r="I1017" t="s">
        <v>3996</v>
      </c>
      <c r="J1017" t="s">
        <v>56</v>
      </c>
      <c r="K1017">
        <v>4</v>
      </c>
      <c r="L1017">
        <v>4</v>
      </c>
      <c r="M1017">
        <v>2033</v>
      </c>
      <c r="N1017" t="s">
        <v>47</v>
      </c>
      <c r="O1017" s="5">
        <f>DATE(Tabela1[[#This Row],[vigencia ano]],Tabela1[[#This Row],[vigencia mês]],Tabela1[[#This Row],[vigencia dia]])</f>
        <v>48673</v>
      </c>
    </row>
    <row r="1018" spans="1:15" x14ac:dyDescent="0.25">
      <c r="A1018" t="s">
        <v>41</v>
      </c>
      <c r="B1018" t="s">
        <v>3997</v>
      </c>
      <c r="C1018" s="1">
        <v>31971321000167</v>
      </c>
      <c r="D1018" t="s">
        <v>3998</v>
      </c>
      <c r="E1018" t="s">
        <v>3399</v>
      </c>
      <c r="F1018" t="s">
        <v>4</v>
      </c>
      <c r="G1018">
        <v>4304010</v>
      </c>
      <c r="H1018" t="s">
        <v>3999</v>
      </c>
      <c r="I1018" t="s">
        <v>4000</v>
      </c>
      <c r="J1018" t="s">
        <v>46</v>
      </c>
      <c r="K1018">
        <v>7</v>
      </c>
      <c r="L1018">
        <v>12</v>
      </c>
      <c r="M1018">
        <v>2029</v>
      </c>
      <c r="N1018" t="s">
        <v>47</v>
      </c>
      <c r="O1018" s="5">
        <f>DATE(Tabela1[[#This Row],[vigencia ano]],Tabela1[[#This Row],[vigencia mês]],Tabela1[[#This Row],[vigencia dia]])</f>
        <v>47459</v>
      </c>
    </row>
    <row r="1019" spans="1:15" x14ac:dyDescent="0.25">
      <c r="A1019" t="s">
        <v>41</v>
      </c>
      <c r="B1019" t="s">
        <v>4001</v>
      </c>
      <c r="C1019" s="1">
        <v>5221721000145</v>
      </c>
      <c r="D1019" t="s">
        <v>4002</v>
      </c>
      <c r="E1019" t="s">
        <v>3399</v>
      </c>
      <c r="F1019" t="s">
        <v>4</v>
      </c>
      <c r="G1019">
        <v>1234000</v>
      </c>
      <c r="H1019" t="s">
        <v>4003</v>
      </c>
      <c r="I1019" t="s">
        <v>4004</v>
      </c>
      <c r="J1019" t="s">
        <v>56</v>
      </c>
      <c r="K1019">
        <v>3</v>
      </c>
      <c r="L1019">
        <v>23</v>
      </c>
      <c r="M1019">
        <v>2015</v>
      </c>
      <c r="N1019" t="s">
        <v>47</v>
      </c>
      <c r="O1019" s="5">
        <f>DATE(Tabela1[[#This Row],[vigencia ano]],Tabela1[[#This Row],[vigencia mês]],Tabela1[[#This Row],[vigencia dia]])</f>
        <v>42677</v>
      </c>
    </row>
    <row r="1020" spans="1:15" x14ac:dyDescent="0.25">
      <c r="A1020" t="s">
        <v>41</v>
      </c>
      <c r="B1020" t="s">
        <v>4005</v>
      </c>
      <c r="C1020" s="1">
        <v>14832664000121</v>
      </c>
      <c r="D1020" t="s">
        <v>4006</v>
      </c>
      <c r="E1020" t="s">
        <v>3399</v>
      </c>
      <c r="F1020" t="s">
        <v>4</v>
      </c>
      <c r="G1020">
        <v>4370020</v>
      </c>
      <c r="H1020" t="s">
        <v>4007</v>
      </c>
      <c r="I1020" t="s">
        <v>4008</v>
      </c>
      <c r="J1020" t="s">
        <v>56</v>
      </c>
      <c r="K1020">
        <v>7</v>
      </c>
      <c r="L1020">
        <v>31</v>
      </c>
      <c r="M1020">
        <v>2030</v>
      </c>
      <c r="N1020" t="s">
        <v>47</v>
      </c>
      <c r="O1020" s="5">
        <f>DATE(Tabela1[[#This Row],[vigencia ano]],Tabela1[[#This Row],[vigencia mês]],Tabela1[[#This Row],[vigencia dia]])</f>
        <v>48402</v>
      </c>
    </row>
    <row r="1021" spans="1:15" x14ac:dyDescent="0.25">
      <c r="A1021" t="s">
        <v>41</v>
      </c>
      <c r="B1021" t="s">
        <v>4009</v>
      </c>
      <c r="C1021" s="1">
        <v>2887124000247</v>
      </c>
      <c r="D1021" t="s">
        <v>4010</v>
      </c>
      <c r="E1021" t="s">
        <v>3399</v>
      </c>
      <c r="F1021" t="s">
        <v>4</v>
      </c>
      <c r="G1021">
        <v>2712130</v>
      </c>
      <c r="H1021" t="s">
        <v>75</v>
      </c>
      <c r="I1021" t="s">
        <v>4011</v>
      </c>
      <c r="J1021" t="s">
        <v>46</v>
      </c>
      <c r="K1021">
        <v>6</v>
      </c>
      <c r="L1021">
        <v>10</v>
      </c>
      <c r="M1021">
        <v>2030</v>
      </c>
      <c r="N1021" t="s">
        <v>47</v>
      </c>
      <c r="O1021" s="5">
        <f>DATE(Tabela1[[#This Row],[vigencia ano]],Tabela1[[#This Row],[vigencia mês]],Tabela1[[#This Row],[vigencia dia]])</f>
        <v>47762</v>
      </c>
    </row>
    <row r="1022" spans="1:15" x14ac:dyDescent="0.25">
      <c r="A1022" t="s">
        <v>41</v>
      </c>
      <c r="B1022" t="s">
        <v>4012</v>
      </c>
      <c r="C1022" s="1">
        <v>54048228000180</v>
      </c>
      <c r="D1022" t="s">
        <v>4013</v>
      </c>
      <c r="E1022" t="s">
        <v>3399</v>
      </c>
      <c r="F1022" t="s">
        <v>4</v>
      </c>
      <c r="G1022">
        <v>5322000</v>
      </c>
      <c r="H1022" t="s">
        <v>4014</v>
      </c>
      <c r="I1022" t="s">
        <v>4015</v>
      </c>
      <c r="J1022" t="s">
        <v>46</v>
      </c>
      <c r="K1022">
        <v>1</v>
      </c>
      <c r="L1022">
        <v>10</v>
      </c>
      <c r="M1022">
        <v>2023</v>
      </c>
      <c r="N1022" t="s">
        <v>47</v>
      </c>
      <c r="O1022" s="5">
        <f>DATE(Tabela1[[#This Row],[vigencia ano]],Tabela1[[#This Row],[vigencia mês]],Tabela1[[#This Row],[vigencia dia]])</f>
        <v>45200</v>
      </c>
    </row>
    <row r="1023" spans="1:15" x14ac:dyDescent="0.25">
      <c r="A1023" t="s">
        <v>41</v>
      </c>
      <c r="B1023" t="s">
        <v>4016</v>
      </c>
      <c r="C1023" s="1">
        <v>8258997000196</v>
      </c>
      <c r="D1023" t="s">
        <v>4017</v>
      </c>
      <c r="E1023" t="s">
        <v>3399</v>
      </c>
      <c r="F1023" t="s">
        <v>4</v>
      </c>
      <c r="G1023">
        <v>1301000</v>
      </c>
      <c r="H1023" t="s">
        <v>4018</v>
      </c>
      <c r="I1023" t="s">
        <v>4019</v>
      </c>
      <c r="J1023" t="s">
        <v>56</v>
      </c>
      <c r="K1023">
        <v>9</v>
      </c>
      <c r="L1023">
        <v>19</v>
      </c>
      <c r="M1023">
        <v>2026</v>
      </c>
      <c r="N1023" t="s">
        <v>47</v>
      </c>
      <c r="O1023" s="5">
        <f>DATE(Tabela1[[#This Row],[vigencia ano]],Tabela1[[#This Row],[vigencia mês]],Tabela1[[#This Row],[vigencia dia]])</f>
        <v>46577</v>
      </c>
    </row>
    <row r="1024" spans="1:15" x14ac:dyDescent="0.25">
      <c r="A1024" t="s">
        <v>41</v>
      </c>
      <c r="B1024" t="s">
        <v>4020</v>
      </c>
      <c r="C1024" s="1">
        <v>14796754000104</v>
      </c>
      <c r="D1024" t="s">
        <v>4021</v>
      </c>
      <c r="E1024" t="s">
        <v>3399</v>
      </c>
      <c r="F1024" t="s">
        <v>4</v>
      </c>
      <c r="G1024">
        <v>4538133</v>
      </c>
      <c r="H1024" t="s">
        <v>4022</v>
      </c>
      <c r="I1024" t="s">
        <v>4023</v>
      </c>
      <c r="J1024" t="s">
        <v>56</v>
      </c>
      <c r="K1024">
        <v>6</v>
      </c>
      <c r="L1024">
        <v>3</v>
      </c>
      <c r="M1024">
        <v>2034</v>
      </c>
      <c r="N1024" t="s">
        <v>47</v>
      </c>
      <c r="O1024" s="5">
        <f>DATE(Tabela1[[#This Row],[vigencia ano]],Tabela1[[#This Row],[vigencia mês]],Tabela1[[#This Row],[vigencia dia]])</f>
        <v>49009</v>
      </c>
    </row>
    <row r="1025" spans="1:15" x14ac:dyDescent="0.25">
      <c r="A1025" t="s">
        <v>41</v>
      </c>
      <c r="B1025" t="s">
        <v>4024</v>
      </c>
      <c r="C1025" s="1">
        <v>23643315000152</v>
      </c>
      <c r="D1025" t="s">
        <v>4025</v>
      </c>
      <c r="E1025" t="s">
        <v>3399</v>
      </c>
      <c r="F1025" t="s">
        <v>4</v>
      </c>
      <c r="G1025">
        <v>1310300</v>
      </c>
      <c r="H1025" t="s">
        <v>4026</v>
      </c>
      <c r="I1025" t="s">
        <v>4027</v>
      </c>
      <c r="J1025" t="s">
        <v>56</v>
      </c>
      <c r="K1025">
        <v>6</v>
      </c>
      <c r="L1025">
        <v>30</v>
      </c>
      <c r="M1025">
        <v>2025</v>
      </c>
      <c r="N1025" t="s">
        <v>47</v>
      </c>
      <c r="O1025" s="5">
        <f>DATE(Tabela1[[#This Row],[vigencia ano]],Tabela1[[#This Row],[vigencia mês]],Tabela1[[#This Row],[vigencia dia]])</f>
        <v>46544</v>
      </c>
    </row>
    <row r="1026" spans="1:15" x14ac:dyDescent="0.25">
      <c r="A1026" t="s">
        <v>41</v>
      </c>
      <c r="B1026" t="s">
        <v>4028</v>
      </c>
      <c r="C1026" s="1">
        <v>963519000175</v>
      </c>
      <c r="D1026" t="s">
        <v>4029</v>
      </c>
      <c r="E1026" t="s">
        <v>3399</v>
      </c>
      <c r="F1026" t="s">
        <v>4</v>
      </c>
      <c r="G1026">
        <v>3410000</v>
      </c>
      <c r="H1026" t="s">
        <v>4030</v>
      </c>
      <c r="I1026" t="s">
        <v>4031</v>
      </c>
      <c r="J1026" t="s">
        <v>56</v>
      </c>
      <c r="K1026">
        <v>6</v>
      </c>
      <c r="L1026">
        <v>12</v>
      </c>
      <c r="M1026">
        <v>2029</v>
      </c>
      <c r="N1026" t="s">
        <v>47</v>
      </c>
      <c r="O1026" s="5">
        <f>DATE(Tabela1[[#This Row],[vigencia ano]],Tabela1[[#This Row],[vigencia mês]],Tabela1[[#This Row],[vigencia dia]])</f>
        <v>47458</v>
      </c>
    </row>
    <row r="1027" spans="1:15" x14ac:dyDescent="0.25">
      <c r="A1027" t="s">
        <v>41</v>
      </c>
      <c r="B1027" t="s">
        <v>4032</v>
      </c>
      <c r="C1027" s="1">
        <v>26205804000110</v>
      </c>
      <c r="D1027" t="s">
        <v>4033</v>
      </c>
      <c r="E1027" t="s">
        <v>3399</v>
      </c>
      <c r="F1027" t="s">
        <v>4</v>
      </c>
      <c r="G1027">
        <v>4208001</v>
      </c>
      <c r="H1027" t="s">
        <v>4034</v>
      </c>
      <c r="I1027" t="s">
        <v>4035</v>
      </c>
      <c r="J1027" t="s">
        <v>56</v>
      </c>
      <c r="K1027">
        <v>6</v>
      </c>
      <c r="L1027">
        <v>18</v>
      </c>
      <c r="M1027">
        <v>2029</v>
      </c>
      <c r="N1027" t="s">
        <v>47</v>
      </c>
      <c r="O1027" s="5">
        <f>DATE(Tabela1[[#This Row],[vigencia ano]],Tabela1[[#This Row],[vigencia mês]],Tabela1[[#This Row],[vigencia dia]])</f>
        <v>47640</v>
      </c>
    </row>
    <row r="1028" spans="1:15" x14ac:dyDescent="0.25">
      <c r="A1028" t="s">
        <v>41</v>
      </c>
      <c r="B1028" t="s">
        <v>4036</v>
      </c>
      <c r="C1028" s="1">
        <v>34244976000121</v>
      </c>
      <c r="D1028" t="s">
        <v>4037</v>
      </c>
      <c r="E1028" t="s">
        <v>3399</v>
      </c>
      <c r="F1028" t="s">
        <v>4</v>
      </c>
      <c r="G1028">
        <v>1418000</v>
      </c>
      <c r="H1028" t="s">
        <v>4038</v>
      </c>
      <c r="I1028" t="s">
        <v>4039</v>
      </c>
      <c r="J1028" t="s">
        <v>56</v>
      </c>
      <c r="K1028">
        <v>9</v>
      </c>
      <c r="L1028">
        <v>24</v>
      </c>
      <c r="M1028">
        <v>2029</v>
      </c>
      <c r="N1028" t="s">
        <v>47</v>
      </c>
      <c r="O1028" s="5">
        <f>DATE(Tabela1[[#This Row],[vigencia ano]],Tabela1[[#This Row],[vigencia mês]],Tabela1[[#This Row],[vigencia dia]])</f>
        <v>47826</v>
      </c>
    </row>
    <row r="1029" spans="1:15" x14ac:dyDescent="0.25">
      <c r="A1029" t="s">
        <v>41</v>
      </c>
      <c r="B1029" t="s">
        <v>4040</v>
      </c>
      <c r="C1029" s="1">
        <v>58890252000113</v>
      </c>
      <c r="D1029" t="s">
        <v>4041</v>
      </c>
      <c r="E1029" t="s">
        <v>3399</v>
      </c>
      <c r="F1029" t="s">
        <v>4</v>
      </c>
      <c r="G1029">
        <v>5317020</v>
      </c>
      <c r="H1029" t="s">
        <v>4042</v>
      </c>
      <c r="I1029" t="s">
        <v>4043</v>
      </c>
      <c r="J1029" t="s">
        <v>46</v>
      </c>
      <c r="K1029">
        <v>4</v>
      </c>
      <c r="L1029">
        <v>1</v>
      </c>
      <c r="M1029">
        <v>2035</v>
      </c>
      <c r="N1029" t="s">
        <v>4044</v>
      </c>
      <c r="O1029" s="5">
        <f>DATE(Tabela1[[#This Row],[vigencia ano]],Tabela1[[#This Row],[vigencia mês]],Tabela1[[#This Row],[vigencia dia]])</f>
        <v>49313</v>
      </c>
    </row>
    <row r="1030" spans="1:15" x14ac:dyDescent="0.25">
      <c r="A1030" t="s">
        <v>41</v>
      </c>
      <c r="B1030" t="s">
        <v>4040</v>
      </c>
      <c r="C1030" s="1">
        <v>58890252000113</v>
      </c>
      <c r="D1030" t="s">
        <v>4041</v>
      </c>
      <c r="E1030" t="s">
        <v>3399</v>
      </c>
      <c r="F1030" t="s">
        <v>4</v>
      </c>
      <c r="G1030">
        <v>5317020</v>
      </c>
      <c r="H1030" t="s">
        <v>4045</v>
      </c>
      <c r="I1030" t="s">
        <v>4043</v>
      </c>
      <c r="J1030" t="s">
        <v>46</v>
      </c>
      <c r="K1030">
        <v>4</v>
      </c>
      <c r="L1030">
        <v>1</v>
      </c>
      <c r="M1030">
        <v>2035</v>
      </c>
      <c r="N1030" t="s">
        <v>4044</v>
      </c>
      <c r="O1030" s="5">
        <f>DATE(Tabela1[[#This Row],[vigencia ano]],Tabela1[[#This Row],[vigencia mês]],Tabela1[[#This Row],[vigencia dia]])</f>
        <v>49313</v>
      </c>
    </row>
    <row r="1031" spans="1:15" x14ac:dyDescent="0.25">
      <c r="A1031" t="s">
        <v>41</v>
      </c>
      <c r="B1031" t="s">
        <v>4046</v>
      </c>
      <c r="C1031" s="1">
        <v>46044913000100</v>
      </c>
      <c r="D1031" t="s">
        <v>4047</v>
      </c>
      <c r="E1031" t="s">
        <v>3399</v>
      </c>
      <c r="F1031" t="s">
        <v>4</v>
      </c>
      <c r="G1031">
        <v>4705903</v>
      </c>
      <c r="H1031" t="s">
        <v>4048</v>
      </c>
      <c r="I1031" t="s">
        <v>4049</v>
      </c>
      <c r="J1031" t="s">
        <v>56</v>
      </c>
      <c r="K1031">
        <v>5</v>
      </c>
      <c r="L1031">
        <v>12</v>
      </c>
      <c r="M1031">
        <v>2025</v>
      </c>
      <c r="N1031" t="s">
        <v>47</v>
      </c>
      <c r="O1031" s="5">
        <f>DATE(Tabela1[[#This Row],[vigencia ano]],Tabela1[[#This Row],[vigencia mês]],Tabela1[[#This Row],[vigencia dia]])</f>
        <v>45996</v>
      </c>
    </row>
    <row r="1032" spans="1:15" x14ac:dyDescent="0.25">
      <c r="A1032" t="s">
        <v>41</v>
      </c>
      <c r="B1032" t="s">
        <v>4050</v>
      </c>
      <c r="C1032" s="1">
        <v>7176842000148</v>
      </c>
      <c r="D1032" t="s">
        <v>4051</v>
      </c>
      <c r="E1032" t="s">
        <v>3399</v>
      </c>
      <c r="F1032" t="s">
        <v>4</v>
      </c>
      <c r="G1032">
        <v>4360000</v>
      </c>
      <c r="H1032" t="s">
        <v>4052</v>
      </c>
      <c r="I1032" t="s">
        <v>4053</v>
      </c>
      <c r="J1032" t="s">
        <v>56</v>
      </c>
      <c r="K1032">
        <v>9</v>
      </c>
      <c r="L1032">
        <v>9</v>
      </c>
      <c r="M1032">
        <v>2025</v>
      </c>
      <c r="N1032" t="s">
        <v>47</v>
      </c>
      <c r="O1032" s="5">
        <f>DATE(Tabela1[[#This Row],[vigencia ano]],Tabela1[[#This Row],[vigencia mês]],Tabela1[[#This Row],[vigencia dia]])</f>
        <v>45909</v>
      </c>
    </row>
    <row r="1033" spans="1:15" x14ac:dyDescent="0.25">
      <c r="A1033" t="s">
        <v>41</v>
      </c>
      <c r="B1033" t="s">
        <v>4050</v>
      </c>
      <c r="C1033" s="1">
        <v>7176842000148</v>
      </c>
      <c r="D1033" t="s">
        <v>4051</v>
      </c>
      <c r="E1033" t="s">
        <v>3399</v>
      </c>
      <c r="F1033" t="s">
        <v>4</v>
      </c>
      <c r="G1033">
        <v>4360000</v>
      </c>
      <c r="H1033" t="s">
        <v>4054</v>
      </c>
      <c r="I1033" t="s">
        <v>4053</v>
      </c>
      <c r="J1033" t="s">
        <v>56</v>
      </c>
      <c r="K1033">
        <v>9</v>
      </c>
      <c r="L1033">
        <v>9</v>
      </c>
      <c r="M1033">
        <v>2025</v>
      </c>
      <c r="N1033" t="s">
        <v>47</v>
      </c>
      <c r="O1033" s="5">
        <f>DATE(Tabela1[[#This Row],[vigencia ano]],Tabela1[[#This Row],[vigencia mês]],Tabela1[[#This Row],[vigencia dia]])</f>
        <v>45909</v>
      </c>
    </row>
    <row r="1034" spans="1:15" x14ac:dyDescent="0.25">
      <c r="A1034" t="s">
        <v>41</v>
      </c>
      <c r="B1034" t="s">
        <v>4055</v>
      </c>
      <c r="C1034" s="1">
        <v>4580801000124</v>
      </c>
      <c r="D1034" t="s">
        <v>4056</v>
      </c>
      <c r="E1034" t="s">
        <v>3399</v>
      </c>
      <c r="F1034" t="s">
        <v>4</v>
      </c>
      <c r="G1034">
        <v>4035000</v>
      </c>
      <c r="H1034" t="s">
        <v>4057</v>
      </c>
      <c r="I1034" t="s">
        <v>4058</v>
      </c>
      <c r="J1034" t="s">
        <v>56</v>
      </c>
      <c r="K1034">
        <v>12</v>
      </c>
      <c r="L1034">
        <v>12</v>
      </c>
      <c r="M1034">
        <v>2032</v>
      </c>
      <c r="N1034" t="s">
        <v>47</v>
      </c>
      <c r="O1034" s="5">
        <f>DATE(Tabela1[[#This Row],[vigencia ano]],Tabela1[[#This Row],[vigencia mês]],Tabela1[[#This Row],[vigencia dia]])</f>
        <v>48560</v>
      </c>
    </row>
    <row r="1035" spans="1:15" x14ac:dyDescent="0.25">
      <c r="A1035" t="s">
        <v>41</v>
      </c>
      <c r="B1035" t="s">
        <v>4059</v>
      </c>
      <c r="C1035" s="1">
        <v>65494742000166</v>
      </c>
      <c r="D1035" t="s">
        <v>4060</v>
      </c>
      <c r="E1035" t="s">
        <v>3399</v>
      </c>
      <c r="F1035" t="s">
        <v>4</v>
      </c>
      <c r="G1035">
        <v>4108000</v>
      </c>
      <c r="H1035" t="s">
        <v>367</v>
      </c>
      <c r="I1035" t="s">
        <v>4061</v>
      </c>
      <c r="J1035" t="s">
        <v>56</v>
      </c>
      <c r="K1035">
        <v>7</v>
      </c>
      <c r="L1035">
        <v>17</v>
      </c>
      <c r="M1035">
        <v>2034</v>
      </c>
      <c r="N1035" t="s">
        <v>47</v>
      </c>
      <c r="O1035" s="5">
        <f>DATE(Tabela1[[#This Row],[vigencia ano]],Tabela1[[#This Row],[vigencia mês]],Tabela1[[#This Row],[vigencia dia]])</f>
        <v>49436</v>
      </c>
    </row>
    <row r="1036" spans="1:15" x14ac:dyDescent="0.25">
      <c r="A1036" t="s">
        <v>41</v>
      </c>
      <c r="B1036" t="s">
        <v>4062</v>
      </c>
      <c r="C1036" s="1">
        <v>5486630000131</v>
      </c>
      <c r="D1036" t="s">
        <v>4063</v>
      </c>
      <c r="E1036" t="s">
        <v>3399</v>
      </c>
      <c r="F1036" t="s">
        <v>4</v>
      </c>
      <c r="G1036">
        <v>4575050</v>
      </c>
      <c r="H1036" t="s">
        <v>4064</v>
      </c>
      <c r="I1036" t="s">
        <v>4065</v>
      </c>
      <c r="J1036" t="s">
        <v>56</v>
      </c>
      <c r="K1036">
        <v>1</v>
      </c>
      <c r="L1036">
        <v>25</v>
      </c>
      <c r="M1036">
        <v>2027</v>
      </c>
      <c r="N1036" t="s">
        <v>47</v>
      </c>
      <c r="O1036" s="5">
        <f>DATE(Tabela1[[#This Row],[vigencia ano]],Tabela1[[#This Row],[vigencia mês]],Tabela1[[#This Row],[vigencia dia]])</f>
        <v>47119</v>
      </c>
    </row>
    <row r="1037" spans="1:15" x14ac:dyDescent="0.25">
      <c r="A1037" t="s">
        <v>41</v>
      </c>
      <c r="B1037" t="s">
        <v>4066</v>
      </c>
      <c r="C1037" s="1">
        <v>2502844000166</v>
      </c>
      <c r="D1037" t="s">
        <v>4067</v>
      </c>
      <c r="E1037" t="s">
        <v>3399</v>
      </c>
      <c r="F1037" t="s">
        <v>4</v>
      </c>
      <c r="G1037">
        <v>4538132</v>
      </c>
      <c r="H1037" t="s">
        <v>4068</v>
      </c>
      <c r="I1037" t="s">
        <v>4069</v>
      </c>
      <c r="J1037" t="s">
        <v>56</v>
      </c>
      <c r="K1037">
        <v>4</v>
      </c>
      <c r="L1037">
        <v>14</v>
      </c>
      <c r="M1037">
        <v>2035</v>
      </c>
      <c r="N1037" t="s">
        <v>4070</v>
      </c>
      <c r="O1037" s="5">
        <f>DATE(Tabela1[[#This Row],[vigencia ano]],Tabela1[[#This Row],[vigencia mês]],Tabela1[[#This Row],[vigencia dia]])</f>
        <v>49709</v>
      </c>
    </row>
    <row r="1038" spans="1:15" x14ac:dyDescent="0.25">
      <c r="A1038" t="s">
        <v>41</v>
      </c>
      <c r="B1038" t="s">
        <v>4066</v>
      </c>
      <c r="C1038" s="1">
        <v>2502844000166</v>
      </c>
      <c r="D1038" t="s">
        <v>4067</v>
      </c>
      <c r="E1038" t="s">
        <v>3399</v>
      </c>
      <c r="F1038" t="s">
        <v>4</v>
      </c>
      <c r="G1038">
        <v>4538132</v>
      </c>
      <c r="H1038" t="s">
        <v>4071</v>
      </c>
      <c r="I1038" t="s">
        <v>4069</v>
      </c>
      <c r="J1038" t="s">
        <v>56</v>
      </c>
      <c r="K1038">
        <v>4</v>
      </c>
      <c r="L1038">
        <v>14</v>
      </c>
      <c r="M1038">
        <v>2035</v>
      </c>
      <c r="N1038" t="s">
        <v>4070</v>
      </c>
      <c r="O1038" s="5">
        <f>DATE(Tabela1[[#This Row],[vigencia ano]],Tabela1[[#This Row],[vigencia mês]],Tabela1[[#This Row],[vigencia dia]])</f>
        <v>49709</v>
      </c>
    </row>
    <row r="1039" spans="1:15" x14ac:dyDescent="0.25">
      <c r="A1039" t="s">
        <v>41</v>
      </c>
      <c r="B1039" t="s">
        <v>4072</v>
      </c>
      <c r="C1039" s="1">
        <v>34392740000132</v>
      </c>
      <c r="D1039" t="s">
        <v>4073</v>
      </c>
      <c r="E1039" t="s">
        <v>3399</v>
      </c>
      <c r="F1039" t="s">
        <v>4</v>
      </c>
      <c r="G1039">
        <v>4622000</v>
      </c>
      <c r="H1039" t="s">
        <v>4074</v>
      </c>
      <c r="I1039" t="s">
        <v>4075</v>
      </c>
      <c r="J1039" t="s">
        <v>56</v>
      </c>
      <c r="K1039">
        <v>4</v>
      </c>
      <c r="L1039">
        <v>22</v>
      </c>
      <c r="M1039">
        <v>2035</v>
      </c>
      <c r="N1039" t="s">
        <v>4076</v>
      </c>
      <c r="O1039" s="5">
        <f>DATE(Tabela1[[#This Row],[vigencia ano]],Tabela1[[#This Row],[vigencia mês]],Tabela1[[#This Row],[vigencia dia]])</f>
        <v>49952</v>
      </c>
    </row>
    <row r="1040" spans="1:15" x14ac:dyDescent="0.25">
      <c r="A1040" t="s">
        <v>41</v>
      </c>
      <c r="B1040" t="s">
        <v>4077</v>
      </c>
      <c r="C1040" s="1">
        <v>58150087000163</v>
      </c>
      <c r="D1040" t="s">
        <v>4078</v>
      </c>
      <c r="E1040" t="s">
        <v>3399</v>
      </c>
      <c r="F1040" t="s">
        <v>4</v>
      </c>
      <c r="G1040">
        <v>1305000</v>
      </c>
      <c r="H1040" t="s">
        <v>4079</v>
      </c>
      <c r="I1040" t="s">
        <v>4080</v>
      </c>
      <c r="J1040" t="s">
        <v>56</v>
      </c>
      <c r="K1040">
        <v>3</v>
      </c>
      <c r="L1040">
        <v>6</v>
      </c>
      <c r="M1040">
        <v>2035</v>
      </c>
      <c r="N1040" t="s">
        <v>4081</v>
      </c>
      <c r="O1040" s="5">
        <f>DATE(Tabela1[[#This Row],[vigencia ano]],Tabela1[[#This Row],[vigencia mês]],Tabela1[[#This Row],[vigencia dia]])</f>
        <v>49463</v>
      </c>
    </row>
    <row r="1041" spans="1:15" x14ac:dyDescent="0.25">
      <c r="A1041" t="s">
        <v>41</v>
      </c>
      <c r="B1041" t="s">
        <v>4082</v>
      </c>
      <c r="C1041" s="1">
        <v>6106950000181</v>
      </c>
      <c r="D1041" t="s">
        <v>4083</v>
      </c>
      <c r="E1041" t="s">
        <v>3399</v>
      </c>
      <c r="F1041" t="s">
        <v>4</v>
      </c>
      <c r="G1041">
        <v>5275000</v>
      </c>
      <c r="H1041" t="s">
        <v>4084</v>
      </c>
      <c r="I1041" t="s">
        <v>4085</v>
      </c>
      <c r="J1041" t="s">
        <v>56</v>
      </c>
      <c r="K1041">
        <v>3</v>
      </c>
      <c r="L1041">
        <v>20</v>
      </c>
      <c r="M1041">
        <v>2028</v>
      </c>
      <c r="N1041" t="s">
        <v>47</v>
      </c>
      <c r="O1041" s="5">
        <f>DATE(Tabela1[[#This Row],[vigencia ano]],Tabela1[[#This Row],[vigencia mês]],Tabela1[[#This Row],[vigencia dia]])</f>
        <v>47333</v>
      </c>
    </row>
    <row r="1042" spans="1:15" x14ac:dyDescent="0.25">
      <c r="A1042" t="s">
        <v>41</v>
      </c>
      <c r="B1042" t="s">
        <v>4086</v>
      </c>
      <c r="C1042" s="1">
        <v>18829864000186</v>
      </c>
      <c r="D1042" t="s">
        <v>4087</v>
      </c>
      <c r="E1042" t="s">
        <v>3399</v>
      </c>
      <c r="F1042" t="s">
        <v>4</v>
      </c>
      <c r="G1042">
        <v>4794000</v>
      </c>
      <c r="H1042" t="s">
        <v>4088</v>
      </c>
      <c r="I1042" t="s">
        <v>4089</v>
      </c>
      <c r="J1042" t="s">
        <v>56</v>
      </c>
      <c r="K1042">
        <v>3</v>
      </c>
      <c r="L1042">
        <v>13</v>
      </c>
      <c r="M1042">
        <v>2036</v>
      </c>
      <c r="N1042" t="s">
        <v>4090</v>
      </c>
      <c r="O1042" s="5">
        <f>DATE(Tabela1[[#This Row],[vigencia ano]],Tabela1[[#This Row],[vigencia mês]],Tabela1[[#This Row],[vigencia dia]])</f>
        <v>50043</v>
      </c>
    </row>
    <row r="1043" spans="1:15" x14ac:dyDescent="0.25">
      <c r="A1043" t="s">
        <v>41</v>
      </c>
      <c r="B1043" t="s">
        <v>4091</v>
      </c>
      <c r="C1043" s="1">
        <v>33572408000197</v>
      </c>
      <c r="D1043" t="s">
        <v>4092</v>
      </c>
      <c r="E1043" t="s">
        <v>3399</v>
      </c>
      <c r="F1043" t="s">
        <v>4</v>
      </c>
      <c r="G1043">
        <v>4538132</v>
      </c>
      <c r="H1043" t="s">
        <v>4093</v>
      </c>
      <c r="I1043" t="s">
        <v>4094</v>
      </c>
      <c r="J1043" t="s">
        <v>56</v>
      </c>
      <c r="K1043">
        <v>6</v>
      </c>
      <c r="L1043">
        <v>17</v>
      </c>
      <c r="M1043">
        <v>2035</v>
      </c>
      <c r="N1043" t="s">
        <v>4095</v>
      </c>
      <c r="O1043" s="5">
        <f>DATE(Tabela1[[#This Row],[vigencia ano]],Tabela1[[#This Row],[vigencia mês]],Tabela1[[#This Row],[vigencia dia]])</f>
        <v>49801</v>
      </c>
    </row>
    <row r="1044" spans="1:15" x14ac:dyDescent="0.25">
      <c r="A1044" t="s">
        <v>41</v>
      </c>
      <c r="B1044" t="s">
        <v>4091</v>
      </c>
      <c r="C1044" s="1">
        <v>33572408000197</v>
      </c>
      <c r="D1044" t="s">
        <v>4092</v>
      </c>
      <c r="E1044" t="s">
        <v>3399</v>
      </c>
      <c r="F1044" t="s">
        <v>4</v>
      </c>
      <c r="G1044">
        <v>4538132</v>
      </c>
      <c r="H1044" t="s">
        <v>4096</v>
      </c>
      <c r="I1044" t="s">
        <v>4094</v>
      </c>
      <c r="J1044" t="s">
        <v>56</v>
      </c>
      <c r="K1044">
        <v>6</v>
      </c>
      <c r="L1044">
        <v>17</v>
      </c>
      <c r="M1044">
        <v>2035</v>
      </c>
      <c r="N1044" t="s">
        <v>4095</v>
      </c>
      <c r="O1044" s="5">
        <f>DATE(Tabela1[[#This Row],[vigencia ano]],Tabela1[[#This Row],[vigencia mês]],Tabela1[[#This Row],[vigencia dia]])</f>
        <v>49801</v>
      </c>
    </row>
    <row r="1045" spans="1:15" x14ac:dyDescent="0.25">
      <c r="A1045" t="s">
        <v>41</v>
      </c>
      <c r="B1045" t="s">
        <v>4097</v>
      </c>
      <c r="C1045" s="1">
        <v>39115514000128</v>
      </c>
      <c r="D1045" t="s">
        <v>4098</v>
      </c>
      <c r="E1045" t="s">
        <v>3399</v>
      </c>
      <c r="F1045" t="s">
        <v>4</v>
      </c>
      <c r="G1045">
        <v>4538132</v>
      </c>
      <c r="H1045" t="s">
        <v>4093</v>
      </c>
      <c r="I1045" t="s">
        <v>4099</v>
      </c>
      <c r="J1045" t="s">
        <v>56</v>
      </c>
      <c r="K1045">
        <v>6</v>
      </c>
      <c r="L1045">
        <v>18</v>
      </c>
      <c r="M1045">
        <v>2035</v>
      </c>
      <c r="N1045" t="s">
        <v>4100</v>
      </c>
      <c r="O1045" s="5">
        <f>DATE(Tabela1[[#This Row],[vigencia ano]],Tabela1[[#This Row],[vigencia mês]],Tabela1[[#This Row],[vigencia dia]])</f>
        <v>49832</v>
      </c>
    </row>
    <row r="1046" spans="1:15" x14ac:dyDescent="0.25">
      <c r="A1046" t="s">
        <v>41</v>
      </c>
      <c r="B1046" t="s">
        <v>4097</v>
      </c>
      <c r="C1046" s="1">
        <v>39115514000128</v>
      </c>
      <c r="D1046" t="s">
        <v>4098</v>
      </c>
      <c r="E1046" t="s">
        <v>3399</v>
      </c>
      <c r="F1046" t="s">
        <v>4</v>
      </c>
      <c r="G1046">
        <v>4538132</v>
      </c>
      <c r="H1046" t="s">
        <v>4096</v>
      </c>
      <c r="I1046" t="s">
        <v>4099</v>
      </c>
      <c r="J1046" t="s">
        <v>56</v>
      </c>
      <c r="K1046">
        <v>6</v>
      </c>
      <c r="L1046">
        <v>18</v>
      </c>
      <c r="M1046">
        <v>2035</v>
      </c>
      <c r="N1046" t="s">
        <v>4100</v>
      </c>
      <c r="O1046" s="5">
        <f>DATE(Tabela1[[#This Row],[vigencia ano]],Tabela1[[#This Row],[vigencia mês]],Tabela1[[#This Row],[vigencia dia]])</f>
        <v>49832</v>
      </c>
    </row>
    <row r="1047" spans="1:15" x14ac:dyDescent="0.25">
      <c r="A1047" t="s">
        <v>41</v>
      </c>
      <c r="B1047" t="s">
        <v>4101</v>
      </c>
      <c r="C1047" s="1">
        <v>35825580000130</v>
      </c>
      <c r="D1047" t="s">
        <v>4102</v>
      </c>
      <c r="E1047" t="s">
        <v>3399</v>
      </c>
      <c r="F1047" t="s">
        <v>4</v>
      </c>
      <c r="G1047">
        <v>4001003</v>
      </c>
      <c r="H1047" t="s">
        <v>4103</v>
      </c>
      <c r="I1047" t="s">
        <v>4104</v>
      </c>
      <c r="J1047" t="s">
        <v>56</v>
      </c>
      <c r="K1047">
        <v>3</v>
      </c>
      <c r="L1047">
        <v>4</v>
      </c>
      <c r="M1047">
        <v>2036</v>
      </c>
      <c r="N1047" t="s">
        <v>4105</v>
      </c>
      <c r="O1047" s="5">
        <f>DATE(Tabela1[[#This Row],[vigencia ano]],Tabela1[[#This Row],[vigencia mês]],Tabela1[[#This Row],[vigencia dia]])</f>
        <v>49768</v>
      </c>
    </row>
    <row r="1048" spans="1:15" x14ac:dyDescent="0.25">
      <c r="A1048" t="s">
        <v>41</v>
      </c>
      <c r="B1048" t="s">
        <v>4106</v>
      </c>
      <c r="C1048" s="1">
        <v>14146738000176</v>
      </c>
      <c r="D1048" t="s">
        <v>4107</v>
      </c>
      <c r="E1048" t="s">
        <v>3399</v>
      </c>
      <c r="F1048" t="s">
        <v>4</v>
      </c>
      <c r="G1048">
        <v>4347180</v>
      </c>
      <c r="H1048" t="s">
        <v>4108</v>
      </c>
      <c r="I1048" t="s">
        <v>4109</v>
      </c>
      <c r="J1048" t="s">
        <v>56</v>
      </c>
      <c r="K1048">
        <v>2</v>
      </c>
      <c r="L1048">
        <v>24</v>
      </c>
      <c r="M1048">
        <v>2036</v>
      </c>
      <c r="N1048" t="s">
        <v>4110</v>
      </c>
      <c r="O1048" s="5">
        <f>DATE(Tabela1[[#This Row],[vigencia ano]],Tabela1[[#This Row],[vigencia mês]],Tabela1[[#This Row],[vigencia dia]])</f>
        <v>50376</v>
      </c>
    </row>
    <row r="1049" spans="1:15" x14ac:dyDescent="0.25">
      <c r="A1049" t="s">
        <v>41</v>
      </c>
      <c r="B1049" t="s">
        <v>4111</v>
      </c>
      <c r="C1049" s="1">
        <v>20945067000106</v>
      </c>
      <c r="D1049" t="s">
        <v>4112</v>
      </c>
      <c r="E1049" t="s">
        <v>4113</v>
      </c>
      <c r="F1049" t="s">
        <v>4</v>
      </c>
      <c r="G1049">
        <v>14176003</v>
      </c>
      <c r="H1049" t="s">
        <v>4114</v>
      </c>
      <c r="I1049" t="s">
        <v>4115</v>
      </c>
      <c r="J1049" t="s">
        <v>46</v>
      </c>
      <c r="K1049">
        <v>3</v>
      </c>
      <c r="L1049">
        <v>25</v>
      </c>
      <c r="M1049">
        <v>2035</v>
      </c>
      <c r="N1049" t="s">
        <v>4116</v>
      </c>
      <c r="O1049" s="5">
        <f>DATE(Tabela1[[#This Row],[vigencia ano]],Tabela1[[#This Row],[vigencia mês]],Tabela1[[#This Row],[vigencia dia]])</f>
        <v>50043</v>
      </c>
    </row>
    <row r="1050" spans="1:15" x14ac:dyDescent="0.25">
      <c r="A1050" t="s">
        <v>41</v>
      </c>
      <c r="B1050" t="s">
        <v>4117</v>
      </c>
      <c r="C1050" s="1">
        <v>9174658000194</v>
      </c>
      <c r="D1050" t="s">
        <v>4118</v>
      </c>
      <c r="E1050" t="s">
        <v>4119</v>
      </c>
      <c r="F1050" t="s">
        <v>4</v>
      </c>
      <c r="G1050">
        <v>18052591</v>
      </c>
      <c r="H1050" t="s">
        <v>4120</v>
      </c>
      <c r="I1050" t="s">
        <v>4121</v>
      </c>
      <c r="J1050" t="s">
        <v>56</v>
      </c>
      <c r="K1050">
        <v>2</v>
      </c>
      <c r="L1050">
        <v>4</v>
      </c>
      <c r="M1050">
        <v>2024</v>
      </c>
      <c r="N1050" t="s">
        <v>47</v>
      </c>
      <c r="O1050" s="5">
        <f>DATE(Tabela1[[#This Row],[vigencia ano]],Tabela1[[#This Row],[vigencia mês]],Tabela1[[#This Row],[vigencia dia]])</f>
        <v>45384</v>
      </c>
    </row>
    <row r="1051" spans="1:15" x14ac:dyDescent="0.25">
      <c r="A1051" t="s">
        <v>41</v>
      </c>
      <c r="B1051" t="s">
        <v>4122</v>
      </c>
      <c r="C1051" s="1">
        <v>26635898000168</v>
      </c>
      <c r="D1051" t="s">
        <v>4123</v>
      </c>
      <c r="E1051" t="s">
        <v>4119</v>
      </c>
      <c r="F1051" t="s">
        <v>4</v>
      </c>
      <c r="G1051">
        <v>18051005</v>
      </c>
      <c r="H1051" t="s">
        <v>4124</v>
      </c>
      <c r="I1051" t="s">
        <v>4125</v>
      </c>
      <c r="J1051" t="s">
        <v>56</v>
      </c>
      <c r="K1051">
        <v>8</v>
      </c>
      <c r="L1051">
        <v>21</v>
      </c>
      <c r="M1051">
        <v>2028</v>
      </c>
      <c r="N1051" t="s">
        <v>47</v>
      </c>
      <c r="O1051" s="5">
        <f>DATE(Tabela1[[#This Row],[vigencia ano]],Tabela1[[#This Row],[vigencia mês]],Tabela1[[#This Row],[vigencia dia]])</f>
        <v>47369</v>
      </c>
    </row>
    <row r="1052" spans="1:15" x14ac:dyDescent="0.25">
      <c r="A1052" t="s">
        <v>41</v>
      </c>
      <c r="B1052" t="s">
        <v>4126</v>
      </c>
      <c r="C1052" s="1">
        <v>26474159000131</v>
      </c>
      <c r="D1052" t="s">
        <v>4127</v>
      </c>
      <c r="E1052" t="s">
        <v>4119</v>
      </c>
      <c r="F1052" t="s">
        <v>4</v>
      </c>
      <c r="G1052">
        <v>18051005</v>
      </c>
      <c r="H1052" t="s">
        <v>4128</v>
      </c>
      <c r="I1052" t="s">
        <v>4129</v>
      </c>
      <c r="J1052" t="s">
        <v>56</v>
      </c>
      <c r="K1052">
        <v>8</v>
      </c>
      <c r="L1052">
        <v>21</v>
      </c>
      <c r="M1052">
        <v>2028</v>
      </c>
      <c r="N1052" t="s">
        <v>47</v>
      </c>
      <c r="O1052" s="5">
        <f>DATE(Tabela1[[#This Row],[vigencia ano]],Tabela1[[#This Row],[vigencia mês]],Tabela1[[#This Row],[vigencia dia]])</f>
        <v>47369</v>
      </c>
    </row>
    <row r="1053" spans="1:15" x14ac:dyDescent="0.25">
      <c r="A1053" t="s">
        <v>41</v>
      </c>
      <c r="B1053" t="s">
        <v>4130</v>
      </c>
      <c r="C1053" s="1">
        <v>36113872000103</v>
      </c>
      <c r="D1053" t="s">
        <v>4131</v>
      </c>
      <c r="E1053" t="s">
        <v>4119</v>
      </c>
      <c r="F1053" t="s">
        <v>4</v>
      </c>
      <c r="G1053">
        <v>18060660</v>
      </c>
      <c r="H1053" t="s">
        <v>4132</v>
      </c>
      <c r="I1053" t="s">
        <v>4133</v>
      </c>
      <c r="J1053" t="s">
        <v>56</v>
      </c>
      <c r="K1053">
        <v>4</v>
      </c>
      <c r="L1053">
        <v>26</v>
      </c>
      <c r="M1053">
        <v>2031</v>
      </c>
      <c r="N1053" t="s">
        <v>47</v>
      </c>
      <c r="O1053" s="5">
        <f>DATE(Tabela1[[#This Row],[vigencia ano]],Tabela1[[#This Row],[vigencia mês]],Tabela1[[#This Row],[vigencia dia]])</f>
        <v>48614</v>
      </c>
    </row>
    <row r="1054" spans="1:15" x14ac:dyDescent="0.25">
      <c r="A1054" t="s">
        <v>41</v>
      </c>
      <c r="B1054" t="s">
        <v>4134</v>
      </c>
      <c r="C1054" s="1">
        <v>28201083000104</v>
      </c>
      <c r="D1054" t="s">
        <v>4135</v>
      </c>
      <c r="E1054" t="s">
        <v>4119</v>
      </c>
      <c r="F1054" t="s">
        <v>4</v>
      </c>
      <c r="G1054">
        <v>18086404</v>
      </c>
      <c r="H1054" t="s">
        <v>4136</v>
      </c>
      <c r="I1054" t="s">
        <v>4137</v>
      </c>
      <c r="J1054" t="s">
        <v>56</v>
      </c>
      <c r="K1054">
        <v>5</v>
      </c>
      <c r="L1054">
        <v>11</v>
      </c>
      <c r="M1054">
        <v>2032</v>
      </c>
      <c r="N1054" t="s">
        <v>47</v>
      </c>
      <c r="O1054" s="5">
        <f>DATE(Tabela1[[#This Row],[vigencia ano]],Tabela1[[#This Row],[vigencia mês]],Tabela1[[#This Row],[vigencia dia]])</f>
        <v>48523</v>
      </c>
    </row>
    <row r="1055" spans="1:15" x14ac:dyDescent="0.25">
      <c r="A1055" t="s">
        <v>41</v>
      </c>
      <c r="B1055" t="s">
        <v>4138</v>
      </c>
      <c r="C1055" s="1">
        <v>39830947000165</v>
      </c>
      <c r="D1055" t="s">
        <v>4139</v>
      </c>
      <c r="E1055" t="s">
        <v>4119</v>
      </c>
      <c r="F1055" t="s">
        <v>4</v>
      </c>
      <c r="G1055">
        <v>18087210</v>
      </c>
      <c r="H1055" t="s">
        <v>1593</v>
      </c>
      <c r="I1055" t="s">
        <v>4140</v>
      </c>
      <c r="J1055" t="s">
        <v>56</v>
      </c>
      <c r="K1055">
        <v>10</v>
      </c>
      <c r="L1055">
        <v>8</v>
      </c>
      <c r="M1055">
        <v>2031</v>
      </c>
      <c r="N1055" t="s">
        <v>47</v>
      </c>
      <c r="O1055" s="5">
        <f>DATE(Tabela1[[#This Row],[vigencia ano]],Tabela1[[#This Row],[vigencia mês]],Tabela1[[#This Row],[vigencia dia]])</f>
        <v>48070</v>
      </c>
    </row>
    <row r="1056" spans="1:15" x14ac:dyDescent="0.25">
      <c r="A1056" t="s">
        <v>41</v>
      </c>
      <c r="B1056" t="s">
        <v>4141</v>
      </c>
      <c r="C1056" s="1">
        <v>15387508000161</v>
      </c>
      <c r="D1056" t="s">
        <v>4142</v>
      </c>
      <c r="E1056" t="s">
        <v>4143</v>
      </c>
      <c r="F1056" t="s">
        <v>4</v>
      </c>
      <c r="G1056">
        <v>13178561</v>
      </c>
      <c r="H1056" t="s">
        <v>4144</v>
      </c>
      <c r="I1056" t="s">
        <v>4145</v>
      </c>
      <c r="J1056" t="s">
        <v>46</v>
      </c>
      <c r="K1056">
        <v>8</v>
      </c>
      <c r="L1056">
        <v>18</v>
      </c>
      <c r="M1056">
        <v>2032</v>
      </c>
      <c r="N1056" t="s">
        <v>47</v>
      </c>
      <c r="O1056" s="5">
        <f>DATE(Tabela1[[#This Row],[vigencia ano]],Tabela1[[#This Row],[vigencia mês]],Tabela1[[#This Row],[vigencia dia]])</f>
        <v>48738</v>
      </c>
    </row>
    <row r="1057" spans="1:15" x14ac:dyDescent="0.25">
      <c r="A1057" t="s">
        <v>41</v>
      </c>
      <c r="B1057" t="s">
        <v>4146</v>
      </c>
      <c r="C1057" s="1">
        <v>10391707000120</v>
      </c>
      <c r="D1057" t="s">
        <v>4147</v>
      </c>
      <c r="E1057" t="s">
        <v>4143</v>
      </c>
      <c r="F1057" t="s">
        <v>4</v>
      </c>
      <c r="G1057">
        <v>13178540</v>
      </c>
      <c r="H1057" t="s">
        <v>4148</v>
      </c>
      <c r="I1057" t="s">
        <v>4149</v>
      </c>
      <c r="J1057" t="s">
        <v>56</v>
      </c>
      <c r="K1057">
        <v>7</v>
      </c>
      <c r="L1057">
        <v>29</v>
      </c>
      <c r="M1057">
        <v>2025</v>
      </c>
      <c r="N1057" t="s">
        <v>47</v>
      </c>
      <c r="O1057" s="5">
        <f>DATE(Tabela1[[#This Row],[vigencia ano]],Tabela1[[#This Row],[vigencia mês]],Tabela1[[#This Row],[vigencia dia]])</f>
        <v>46514</v>
      </c>
    </row>
    <row r="1058" spans="1:15" x14ac:dyDescent="0.25">
      <c r="A1058" t="s">
        <v>41</v>
      </c>
      <c r="B1058" t="s">
        <v>4150</v>
      </c>
      <c r="C1058" s="1">
        <v>4548589000118</v>
      </c>
      <c r="D1058" t="s">
        <v>4151</v>
      </c>
      <c r="E1058" t="s">
        <v>4143</v>
      </c>
      <c r="F1058" t="s">
        <v>4</v>
      </c>
      <c r="G1058">
        <v>13181585</v>
      </c>
      <c r="H1058" t="s">
        <v>4152</v>
      </c>
      <c r="I1058" t="s">
        <v>4153</v>
      </c>
      <c r="J1058" t="s">
        <v>46</v>
      </c>
      <c r="K1058">
        <v>3</v>
      </c>
      <c r="L1058">
        <v>8</v>
      </c>
      <c r="M1058">
        <v>2026</v>
      </c>
      <c r="N1058" t="s">
        <v>47</v>
      </c>
      <c r="O1058" s="5">
        <f>DATE(Tabela1[[#This Row],[vigencia ano]],Tabela1[[#This Row],[vigencia mês]],Tabela1[[#This Row],[vigencia dia]])</f>
        <v>46237</v>
      </c>
    </row>
    <row r="1059" spans="1:15" x14ac:dyDescent="0.25">
      <c r="A1059" t="s">
        <v>41</v>
      </c>
      <c r="B1059" t="s">
        <v>4154</v>
      </c>
      <c r="C1059" s="1">
        <v>53886768000170</v>
      </c>
      <c r="D1059" t="s">
        <v>4155</v>
      </c>
      <c r="E1059" t="s">
        <v>4156</v>
      </c>
      <c r="F1059" t="s">
        <v>4</v>
      </c>
      <c r="G1059">
        <v>8675000</v>
      </c>
      <c r="H1059" t="s">
        <v>4157</v>
      </c>
      <c r="I1059" t="s">
        <v>4158</v>
      </c>
      <c r="J1059" t="s">
        <v>56</v>
      </c>
      <c r="K1059">
        <v>10</v>
      </c>
      <c r="L1059">
        <v>19</v>
      </c>
      <c r="M1059">
        <v>2026</v>
      </c>
      <c r="N1059" t="s">
        <v>47</v>
      </c>
      <c r="O1059" s="5">
        <f>DATE(Tabela1[[#This Row],[vigencia ano]],Tabela1[[#This Row],[vigencia mês]],Tabela1[[#This Row],[vigencia dia]])</f>
        <v>46578</v>
      </c>
    </row>
    <row r="1060" spans="1:15" x14ac:dyDescent="0.25">
      <c r="A1060" t="s">
        <v>41</v>
      </c>
      <c r="B1060" t="s">
        <v>4159</v>
      </c>
      <c r="C1060" s="1">
        <v>9187372000143</v>
      </c>
      <c r="D1060" t="s">
        <v>4160</v>
      </c>
      <c r="E1060" t="s">
        <v>4156</v>
      </c>
      <c r="F1060" t="s">
        <v>4</v>
      </c>
      <c r="G1060">
        <v>8616770</v>
      </c>
      <c r="H1060" t="s">
        <v>4161</v>
      </c>
      <c r="I1060" t="s">
        <v>4162</v>
      </c>
      <c r="J1060" t="s">
        <v>46</v>
      </c>
      <c r="K1060">
        <v>2</v>
      </c>
      <c r="L1060">
        <v>5</v>
      </c>
      <c r="M1060">
        <v>2028</v>
      </c>
      <c r="N1060" t="s">
        <v>47</v>
      </c>
      <c r="O1060" s="5">
        <f>DATE(Tabela1[[#This Row],[vigencia ano]],Tabela1[[#This Row],[vigencia mês]],Tabela1[[#This Row],[vigencia dia]])</f>
        <v>46875</v>
      </c>
    </row>
    <row r="1061" spans="1:15" x14ac:dyDescent="0.25">
      <c r="A1061" t="s">
        <v>41</v>
      </c>
      <c r="B1061" t="s">
        <v>4163</v>
      </c>
      <c r="C1061" s="1">
        <v>44411353000150</v>
      </c>
      <c r="D1061" t="s">
        <v>4164</v>
      </c>
      <c r="E1061" t="s">
        <v>4156</v>
      </c>
      <c r="F1061" t="s">
        <v>4</v>
      </c>
      <c r="G1061">
        <v>8635170</v>
      </c>
      <c r="H1061" t="s">
        <v>4165</v>
      </c>
      <c r="I1061" t="s">
        <v>4166</v>
      </c>
      <c r="J1061" t="s">
        <v>56</v>
      </c>
      <c r="K1061">
        <v>1</v>
      </c>
      <c r="L1061">
        <v>18</v>
      </c>
      <c r="M1061">
        <v>2017</v>
      </c>
      <c r="N1061" t="s">
        <v>47</v>
      </c>
      <c r="O1061" s="5">
        <f>DATE(Tabela1[[#This Row],[vigencia ano]],Tabela1[[#This Row],[vigencia mês]],Tabela1[[#This Row],[vigencia dia]])</f>
        <v>43252</v>
      </c>
    </row>
    <row r="1062" spans="1:15" x14ac:dyDescent="0.25">
      <c r="A1062" t="s">
        <v>41</v>
      </c>
      <c r="B1062" t="s">
        <v>4167</v>
      </c>
      <c r="C1062" s="1">
        <v>88668298000153</v>
      </c>
      <c r="D1062" t="s">
        <v>4168</v>
      </c>
      <c r="E1062" t="s">
        <v>4169</v>
      </c>
      <c r="F1062" t="s">
        <v>4</v>
      </c>
      <c r="G1062">
        <v>6775460</v>
      </c>
      <c r="H1062" t="s">
        <v>4170</v>
      </c>
      <c r="I1062" t="s">
        <v>4171</v>
      </c>
      <c r="J1062" t="s">
        <v>56</v>
      </c>
      <c r="K1062">
        <v>7</v>
      </c>
      <c r="L1062">
        <v>8</v>
      </c>
      <c r="M1062">
        <v>2025</v>
      </c>
      <c r="N1062" t="s">
        <v>47</v>
      </c>
      <c r="O1062" s="5">
        <f>DATE(Tabela1[[#This Row],[vigencia ano]],Tabela1[[#This Row],[vigencia mês]],Tabela1[[#This Row],[vigencia dia]])</f>
        <v>45876</v>
      </c>
    </row>
    <row r="1063" spans="1:15" x14ac:dyDescent="0.25">
      <c r="A1063" t="s">
        <v>41</v>
      </c>
      <c r="B1063" t="s">
        <v>4172</v>
      </c>
      <c r="C1063" s="1">
        <v>3781767000193</v>
      </c>
      <c r="D1063" t="s">
        <v>4173</v>
      </c>
      <c r="E1063" t="s">
        <v>4174</v>
      </c>
      <c r="F1063" t="s">
        <v>4</v>
      </c>
      <c r="G1063">
        <v>12042045</v>
      </c>
      <c r="H1063" t="s">
        <v>3358</v>
      </c>
      <c r="I1063" t="s">
        <v>4175</v>
      </c>
      <c r="J1063" t="s">
        <v>56</v>
      </c>
      <c r="K1063">
        <v>4</v>
      </c>
      <c r="L1063">
        <v>4</v>
      </c>
      <c r="M1063">
        <v>2028</v>
      </c>
      <c r="N1063" t="s">
        <v>47</v>
      </c>
      <c r="O1063" s="5">
        <f>DATE(Tabela1[[#This Row],[vigencia ano]],Tabela1[[#This Row],[vigencia mês]],Tabela1[[#This Row],[vigencia dia]])</f>
        <v>46847</v>
      </c>
    </row>
    <row r="1064" spans="1:15" x14ac:dyDescent="0.25">
      <c r="A1064" t="s">
        <v>41</v>
      </c>
      <c r="B1064" t="s">
        <v>4176</v>
      </c>
      <c r="C1064" s="1">
        <v>11734901000123</v>
      </c>
      <c r="D1064" t="s">
        <v>4177</v>
      </c>
      <c r="E1064" t="s">
        <v>4174</v>
      </c>
      <c r="F1064" t="s">
        <v>4</v>
      </c>
      <c r="G1064">
        <v>12020050</v>
      </c>
      <c r="H1064" t="s">
        <v>4178</v>
      </c>
      <c r="I1064" t="s">
        <v>4179</v>
      </c>
      <c r="J1064" t="s">
        <v>56</v>
      </c>
      <c r="K1064">
        <v>4</v>
      </c>
      <c r="L1064">
        <v>13</v>
      </c>
      <c r="M1064">
        <v>2025</v>
      </c>
      <c r="N1064" t="s">
        <v>47</v>
      </c>
      <c r="O1064" s="5">
        <f>DATE(Tabela1[[#This Row],[vigencia ano]],Tabela1[[#This Row],[vigencia mês]],Tabela1[[#This Row],[vigencia dia]])</f>
        <v>46026</v>
      </c>
    </row>
    <row r="1065" spans="1:15" x14ac:dyDescent="0.25">
      <c r="A1065" t="s">
        <v>41</v>
      </c>
      <c r="B1065" t="s">
        <v>4180</v>
      </c>
      <c r="C1065" s="1">
        <v>21657330000124</v>
      </c>
      <c r="D1065" t="s">
        <v>4181</v>
      </c>
      <c r="E1065" t="s">
        <v>4174</v>
      </c>
      <c r="F1065" t="s">
        <v>4</v>
      </c>
      <c r="G1065">
        <v>12010790</v>
      </c>
      <c r="H1065" t="s">
        <v>4182</v>
      </c>
      <c r="I1065" t="s">
        <v>4183</v>
      </c>
      <c r="J1065" t="s">
        <v>56</v>
      </c>
      <c r="K1065">
        <v>6</v>
      </c>
      <c r="L1065">
        <v>10</v>
      </c>
      <c r="M1065">
        <v>2025</v>
      </c>
      <c r="N1065" t="s">
        <v>47</v>
      </c>
      <c r="O1065" s="5">
        <f>DATE(Tabela1[[#This Row],[vigencia ano]],Tabela1[[#This Row],[vigencia mês]],Tabela1[[#This Row],[vigencia dia]])</f>
        <v>45936</v>
      </c>
    </row>
    <row r="1066" spans="1:15" x14ac:dyDescent="0.25">
      <c r="A1066" t="s">
        <v>41</v>
      </c>
      <c r="B1066" t="s">
        <v>4184</v>
      </c>
      <c r="C1066" s="1">
        <v>18296057000145</v>
      </c>
      <c r="D1066" t="s">
        <v>4185</v>
      </c>
      <c r="E1066" t="s">
        <v>4186</v>
      </c>
      <c r="F1066" t="s">
        <v>4</v>
      </c>
      <c r="G1066">
        <v>13278327</v>
      </c>
      <c r="H1066" t="s">
        <v>4187</v>
      </c>
      <c r="I1066" t="s">
        <v>4188</v>
      </c>
      <c r="J1066" t="s">
        <v>56</v>
      </c>
      <c r="K1066">
        <v>5</v>
      </c>
      <c r="L1066">
        <v>3</v>
      </c>
      <c r="M1066">
        <v>2033</v>
      </c>
      <c r="N1066" t="s">
        <v>47</v>
      </c>
      <c r="O1066" s="5">
        <f>DATE(Tabela1[[#This Row],[vigencia ano]],Tabela1[[#This Row],[vigencia mês]],Tabela1[[#This Row],[vigencia dia]])</f>
        <v>48643</v>
      </c>
    </row>
    <row r="1067" spans="1:15" x14ac:dyDescent="0.25">
      <c r="A1067" t="s">
        <v>41</v>
      </c>
      <c r="B1067" t="s">
        <v>4189</v>
      </c>
      <c r="C1067" s="1">
        <v>31532157000191</v>
      </c>
      <c r="D1067" t="s">
        <v>4190</v>
      </c>
      <c r="E1067" t="s">
        <v>4186</v>
      </c>
      <c r="F1067" t="s">
        <v>4</v>
      </c>
      <c r="G1067">
        <v>13278327</v>
      </c>
      <c r="H1067" t="s">
        <v>4191</v>
      </c>
      <c r="I1067" t="s">
        <v>4192</v>
      </c>
      <c r="J1067" t="s">
        <v>56</v>
      </c>
      <c r="K1067">
        <v>5</v>
      </c>
      <c r="L1067">
        <v>3</v>
      </c>
      <c r="M1067">
        <v>2029</v>
      </c>
      <c r="N1067" t="s">
        <v>47</v>
      </c>
      <c r="O1067" s="5">
        <f>DATE(Tabela1[[#This Row],[vigencia ano]],Tabela1[[#This Row],[vigencia mês]],Tabela1[[#This Row],[vigencia dia]])</f>
        <v>47182</v>
      </c>
    </row>
    <row r="1068" spans="1:15" x14ac:dyDescent="0.25">
      <c r="A1068" t="s">
        <v>41</v>
      </c>
      <c r="B1068" t="s">
        <v>4193</v>
      </c>
      <c r="C1068" s="1">
        <v>1738912000128</v>
      </c>
      <c r="D1068" t="s">
        <v>4194</v>
      </c>
      <c r="E1068" t="s">
        <v>4186</v>
      </c>
      <c r="F1068" t="s">
        <v>4</v>
      </c>
      <c r="G1068">
        <v>13274260</v>
      </c>
      <c r="H1068" t="s">
        <v>4195</v>
      </c>
      <c r="I1068" t="s">
        <v>4196</v>
      </c>
      <c r="J1068" t="s">
        <v>56</v>
      </c>
      <c r="K1068">
        <v>4</v>
      </c>
      <c r="L1068">
        <v>25</v>
      </c>
      <c r="M1068">
        <v>2035</v>
      </c>
      <c r="N1068" t="s">
        <v>4197</v>
      </c>
      <c r="O1068" s="5">
        <f>DATE(Tabela1[[#This Row],[vigencia ano]],Tabela1[[#This Row],[vigencia mês]],Tabela1[[#This Row],[vigencia dia]])</f>
        <v>50044</v>
      </c>
    </row>
    <row r="1069" spans="1:15" x14ac:dyDescent="0.25">
      <c r="A1069" t="s">
        <v>41</v>
      </c>
      <c r="B1069" t="s">
        <v>4198</v>
      </c>
      <c r="C1069" s="1">
        <v>25009450000176</v>
      </c>
      <c r="D1069" t="s">
        <v>4199</v>
      </c>
      <c r="E1069" t="s">
        <v>4200</v>
      </c>
      <c r="F1069" t="s">
        <v>4</v>
      </c>
      <c r="G1069">
        <v>6730000</v>
      </c>
      <c r="H1069" t="s">
        <v>4201</v>
      </c>
      <c r="I1069" t="s">
        <v>4202</v>
      </c>
      <c r="J1069" t="s">
        <v>56</v>
      </c>
      <c r="K1069">
        <v>11</v>
      </c>
      <c r="L1069">
        <v>27</v>
      </c>
      <c r="M1069">
        <v>2034</v>
      </c>
      <c r="N1069" t="s">
        <v>47</v>
      </c>
      <c r="O1069" s="5">
        <f>DATE(Tabela1[[#This Row],[vigencia ano]],Tabela1[[#This Row],[vigencia mês]],Tabela1[[#This Row],[vigencia dia]])</f>
        <v>49745</v>
      </c>
    </row>
    <row r="1070" spans="1:15" x14ac:dyDescent="0.25">
      <c r="A1070" t="s">
        <v>41</v>
      </c>
      <c r="B1070" t="s">
        <v>4203</v>
      </c>
      <c r="C1070" s="1">
        <v>43739026000169</v>
      </c>
      <c r="D1070" t="s">
        <v>4204</v>
      </c>
      <c r="E1070" t="s">
        <v>4205</v>
      </c>
      <c r="F1070" t="s">
        <v>4</v>
      </c>
      <c r="G1070">
        <v>13284072</v>
      </c>
      <c r="H1070" t="s">
        <v>367</v>
      </c>
      <c r="I1070" t="s">
        <v>4206</v>
      </c>
      <c r="J1070" t="s">
        <v>56</v>
      </c>
      <c r="K1070">
        <v>3</v>
      </c>
      <c r="L1070">
        <v>21</v>
      </c>
      <c r="M1070">
        <v>2032</v>
      </c>
      <c r="N1070" t="s">
        <v>47</v>
      </c>
      <c r="O1070" s="5">
        <f>DATE(Tabela1[[#This Row],[vigencia ano]],Tabela1[[#This Row],[vigencia mês]],Tabela1[[#This Row],[vigencia dia]])</f>
        <v>48825</v>
      </c>
    </row>
    <row r="1071" spans="1:15" x14ac:dyDescent="0.25">
      <c r="A1071" t="s">
        <v>41</v>
      </c>
      <c r="B1071" t="s">
        <v>4207</v>
      </c>
      <c r="C1071" s="1">
        <v>57598542000125</v>
      </c>
      <c r="D1071" t="s">
        <v>4208</v>
      </c>
      <c r="E1071" t="s">
        <v>4205</v>
      </c>
      <c r="F1071" t="s">
        <v>4</v>
      </c>
      <c r="G1071">
        <v>13284400</v>
      </c>
      <c r="H1071" t="s">
        <v>4209</v>
      </c>
      <c r="I1071" t="s">
        <v>4210</v>
      </c>
      <c r="J1071" t="s">
        <v>46</v>
      </c>
      <c r="K1071">
        <v>3</v>
      </c>
      <c r="L1071">
        <v>28</v>
      </c>
      <c r="M1071">
        <v>2032</v>
      </c>
      <c r="N1071" t="s">
        <v>47</v>
      </c>
      <c r="O1071" s="5">
        <f>DATE(Tabela1[[#This Row],[vigencia ano]],Tabela1[[#This Row],[vigencia mês]],Tabela1[[#This Row],[vigencia dia]])</f>
        <v>49037</v>
      </c>
    </row>
    <row r="1072" spans="1:15" x14ac:dyDescent="0.25">
      <c r="A1072" t="s">
        <v>41</v>
      </c>
      <c r="B1072" t="s">
        <v>4211</v>
      </c>
      <c r="C1072" s="1">
        <v>46587902000177</v>
      </c>
      <c r="D1072" t="s">
        <v>4212</v>
      </c>
      <c r="E1072" t="s">
        <v>4213</v>
      </c>
      <c r="F1072" t="s">
        <v>1</v>
      </c>
      <c r="G1072">
        <v>83702205</v>
      </c>
      <c r="H1072" t="s">
        <v>4214</v>
      </c>
      <c r="I1072" t="s">
        <v>4215</v>
      </c>
      <c r="J1072" t="s">
        <v>56</v>
      </c>
      <c r="K1072">
        <v>8</v>
      </c>
      <c r="L1072">
        <v>11</v>
      </c>
      <c r="M1072">
        <v>2033</v>
      </c>
      <c r="N1072" t="s">
        <v>47</v>
      </c>
      <c r="O1072" s="5">
        <f>DATE(Tabela1[[#This Row],[vigencia ano]],Tabela1[[#This Row],[vigencia mês]],Tabela1[[#This Row],[vigencia dia]])</f>
        <v>48891</v>
      </c>
    </row>
    <row r="1073" spans="1:15" x14ac:dyDescent="0.25">
      <c r="A1073" t="s">
        <v>41</v>
      </c>
      <c r="B1073" t="s">
        <v>4211</v>
      </c>
      <c r="C1073" s="1">
        <v>46587902000177</v>
      </c>
      <c r="D1073" t="s">
        <v>4212</v>
      </c>
      <c r="E1073" t="s">
        <v>4213</v>
      </c>
      <c r="F1073" t="s">
        <v>1</v>
      </c>
      <c r="G1073">
        <v>83702205</v>
      </c>
      <c r="H1073" t="s">
        <v>4216</v>
      </c>
      <c r="I1073" t="s">
        <v>4215</v>
      </c>
      <c r="J1073" t="s">
        <v>56</v>
      </c>
      <c r="K1073">
        <v>8</v>
      </c>
      <c r="L1073">
        <v>11</v>
      </c>
      <c r="M1073">
        <v>2033</v>
      </c>
      <c r="N1073" t="s">
        <v>47</v>
      </c>
      <c r="O1073" s="5">
        <f>DATE(Tabela1[[#This Row],[vigencia ano]],Tabela1[[#This Row],[vigencia mês]],Tabela1[[#This Row],[vigencia dia]])</f>
        <v>48891</v>
      </c>
    </row>
    <row r="1074" spans="1:15" x14ac:dyDescent="0.25">
      <c r="A1074" t="s">
        <v>41</v>
      </c>
      <c r="B1074" t="s">
        <v>4217</v>
      </c>
      <c r="C1074" s="1">
        <v>3096390000133</v>
      </c>
      <c r="D1074" t="s">
        <v>4218</v>
      </c>
      <c r="E1074" t="s">
        <v>4213</v>
      </c>
      <c r="F1074" t="s">
        <v>1</v>
      </c>
      <c r="G1074">
        <v>83708335</v>
      </c>
      <c r="H1074" t="s">
        <v>4219</v>
      </c>
      <c r="I1074" t="s">
        <v>4220</v>
      </c>
      <c r="J1074" t="s">
        <v>46</v>
      </c>
      <c r="K1074">
        <v>5</v>
      </c>
      <c r="L1074">
        <v>9</v>
      </c>
      <c r="M1074">
        <v>2033</v>
      </c>
      <c r="N1074" t="s">
        <v>47</v>
      </c>
      <c r="O1074" s="5">
        <f>DATE(Tabela1[[#This Row],[vigencia ano]],Tabela1[[#This Row],[vigencia mês]],Tabela1[[#This Row],[vigencia dia]])</f>
        <v>48827</v>
      </c>
    </row>
    <row r="1075" spans="1:15" x14ac:dyDescent="0.25">
      <c r="A1075" t="s">
        <v>41</v>
      </c>
      <c r="B1075" t="s">
        <v>4221</v>
      </c>
      <c r="C1075" s="1">
        <v>84936426000141</v>
      </c>
      <c r="D1075" t="s">
        <v>4222</v>
      </c>
      <c r="E1075" t="s">
        <v>4213</v>
      </c>
      <c r="F1075" t="s">
        <v>1</v>
      </c>
      <c r="G1075">
        <v>83702185</v>
      </c>
      <c r="H1075" t="s">
        <v>4223</v>
      </c>
      <c r="I1075" t="s">
        <v>4224</v>
      </c>
      <c r="J1075" t="s">
        <v>46</v>
      </c>
      <c r="K1075">
        <v>1</v>
      </c>
      <c r="L1075">
        <v>18</v>
      </c>
      <c r="M1075">
        <v>2017</v>
      </c>
      <c r="N1075" t="s">
        <v>47</v>
      </c>
      <c r="O1075" s="5">
        <f>DATE(Tabela1[[#This Row],[vigencia ano]],Tabela1[[#This Row],[vigencia mês]],Tabela1[[#This Row],[vigencia dia]])</f>
        <v>43252</v>
      </c>
    </row>
    <row r="1076" spans="1:15" x14ac:dyDescent="0.25">
      <c r="A1076" t="s">
        <v>41</v>
      </c>
      <c r="B1076" t="s">
        <v>4225</v>
      </c>
      <c r="C1076" s="1">
        <v>76302157000133</v>
      </c>
      <c r="D1076" t="s">
        <v>4226</v>
      </c>
      <c r="E1076" t="s">
        <v>4227</v>
      </c>
      <c r="F1076" t="s">
        <v>1</v>
      </c>
      <c r="G1076">
        <v>85820899</v>
      </c>
      <c r="H1076" t="s">
        <v>4228</v>
      </c>
      <c r="I1076" t="s">
        <v>4229</v>
      </c>
      <c r="J1076" t="s">
        <v>46</v>
      </c>
      <c r="K1076">
        <v>7</v>
      </c>
      <c r="L1076">
        <v>31</v>
      </c>
      <c r="M1076">
        <v>2030</v>
      </c>
      <c r="N1076" t="s">
        <v>47</v>
      </c>
      <c r="O1076" s="5">
        <f>DATE(Tabela1[[#This Row],[vigencia ano]],Tabela1[[#This Row],[vigencia mês]],Tabela1[[#This Row],[vigencia dia]])</f>
        <v>48402</v>
      </c>
    </row>
    <row r="1077" spans="1:15" x14ac:dyDescent="0.25">
      <c r="A1077" t="s">
        <v>41</v>
      </c>
      <c r="B1077" t="s">
        <v>4230</v>
      </c>
      <c r="C1077" s="1">
        <v>35506775000118</v>
      </c>
      <c r="D1077" t="s">
        <v>4231</v>
      </c>
      <c r="E1077" t="s">
        <v>4232</v>
      </c>
      <c r="F1077" t="s">
        <v>1</v>
      </c>
      <c r="G1077">
        <v>80215182</v>
      </c>
      <c r="H1077" t="s">
        <v>4233</v>
      </c>
      <c r="I1077" t="s">
        <v>4234</v>
      </c>
      <c r="J1077" t="s">
        <v>56</v>
      </c>
      <c r="K1077">
        <v>5</v>
      </c>
      <c r="L1077">
        <v>18</v>
      </c>
      <c r="M1077">
        <v>2032</v>
      </c>
      <c r="N1077" t="s">
        <v>47</v>
      </c>
      <c r="O1077" s="5">
        <f>DATE(Tabela1[[#This Row],[vigencia ano]],Tabela1[[#This Row],[vigencia mês]],Tabela1[[#This Row],[vigencia dia]])</f>
        <v>48735</v>
      </c>
    </row>
    <row r="1078" spans="1:15" x14ac:dyDescent="0.25">
      <c r="A1078" t="s">
        <v>41</v>
      </c>
      <c r="B1078" t="s">
        <v>4235</v>
      </c>
      <c r="C1078" s="1">
        <v>31590673000172</v>
      </c>
      <c r="D1078" t="s">
        <v>4236</v>
      </c>
      <c r="E1078" t="s">
        <v>4232</v>
      </c>
      <c r="F1078" t="s">
        <v>1</v>
      </c>
      <c r="G1078">
        <v>80740000</v>
      </c>
      <c r="H1078" t="s">
        <v>4237</v>
      </c>
      <c r="I1078" t="s">
        <v>4238</v>
      </c>
      <c r="J1078" t="s">
        <v>46</v>
      </c>
      <c r="K1078">
        <v>6</v>
      </c>
      <c r="L1078">
        <v>22</v>
      </c>
      <c r="M1078">
        <v>2031</v>
      </c>
      <c r="N1078" t="s">
        <v>47</v>
      </c>
      <c r="O1078" s="5">
        <f>DATE(Tabela1[[#This Row],[vigencia ano]],Tabela1[[#This Row],[vigencia mês]],Tabela1[[#This Row],[vigencia dia]])</f>
        <v>48493</v>
      </c>
    </row>
    <row r="1079" spans="1:15" x14ac:dyDescent="0.25">
      <c r="A1079" t="s">
        <v>41</v>
      </c>
      <c r="B1079" t="s">
        <v>4239</v>
      </c>
      <c r="C1079" s="1">
        <v>7996749000180</v>
      </c>
      <c r="D1079" t="s">
        <v>4240</v>
      </c>
      <c r="E1079" t="s">
        <v>4232</v>
      </c>
      <c r="F1079" t="s">
        <v>1</v>
      </c>
      <c r="G1079">
        <v>80050370</v>
      </c>
      <c r="H1079" t="s">
        <v>4241</v>
      </c>
      <c r="I1079" t="s">
        <v>4242</v>
      </c>
      <c r="J1079" t="s">
        <v>56</v>
      </c>
      <c r="K1079">
        <v>6</v>
      </c>
      <c r="L1079">
        <v>10</v>
      </c>
      <c r="M1079">
        <v>2025</v>
      </c>
      <c r="N1079" t="s">
        <v>47</v>
      </c>
      <c r="O1079" s="5">
        <f>DATE(Tabela1[[#This Row],[vigencia ano]],Tabela1[[#This Row],[vigencia mês]],Tabela1[[#This Row],[vigencia dia]])</f>
        <v>45936</v>
      </c>
    </row>
    <row r="1080" spans="1:15" x14ac:dyDescent="0.25">
      <c r="A1080" t="s">
        <v>41</v>
      </c>
      <c r="B1080" t="s">
        <v>4243</v>
      </c>
      <c r="C1080" s="1">
        <v>2387241000160</v>
      </c>
      <c r="D1080" t="s">
        <v>4244</v>
      </c>
      <c r="E1080" t="s">
        <v>4232</v>
      </c>
      <c r="F1080" t="s">
        <v>1</v>
      </c>
      <c r="G1080">
        <v>82920030</v>
      </c>
      <c r="H1080" t="s">
        <v>4245</v>
      </c>
      <c r="I1080" t="s">
        <v>4246</v>
      </c>
      <c r="J1080" t="s">
        <v>46</v>
      </c>
      <c r="K1080">
        <v>10</v>
      </c>
      <c r="L1080">
        <v>17</v>
      </c>
      <c r="M1080">
        <v>2026</v>
      </c>
      <c r="N1080" t="s">
        <v>47</v>
      </c>
      <c r="O1080" s="5">
        <f>DATE(Tabela1[[#This Row],[vigencia ano]],Tabela1[[#This Row],[vigencia mês]],Tabela1[[#This Row],[vigencia dia]])</f>
        <v>46517</v>
      </c>
    </row>
    <row r="1081" spans="1:15" x14ac:dyDescent="0.25">
      <c r="A1081" t="s">
        <v>41</v>
      </c>
      <c r="B1081" t="s">
        <v>4247</v>
      </c>
      <c r="C1081" s="1">
        <v>7775831000184</v>
      </c>
      <c r="D1081" t="s">
        <v>4248</v>
      </c>
      <c r="E1081" t="s">
        <v>4232</v>
      </c>
      <c r="F1081" t="s">
        <v>1</v>
      </c>
      <c r="G1081">
        <v>82515220</v>
      </c>
      <c r="H1081" t="s">
        <v>4249</v>
      </c>
      <c r="I1081" t="s">
        <v>4250</v>
      </c>
      <c r="J1081" t="s">
        <v>56</v>
      </c>
      <c r="K1081">
        <v>12</v>
      </c>
      <c r="L1081">
        <v>21</v>
      </c>
      <c r="M1081">
        <v>2027</v>
      </c>
      <c r="N1081" t="s">
        <v>47</v>
      </c>
      <c r="O1081" s="5">
        <f>DATE(Tabela1[[#This Row],[vigencia ano]],Tabela1[[#This Row],[vigencia mês]],Tabela1[[#This Row],[vigencia dia]])</f>
        <v>47008</v>
      </c>
    </row>
    <row r="1082" spans="1:15" x14ac:dyDescent="0.25">
      <c r="A1082" t="s">
        <v>41</v>
      </c>
      <c r="B1082" t="s">
        <v>4251</v>
      </c>
      <c r="C1082" s="1">
        <v>12898982000160</v>
      </c>
      <c r="D1082" t="s">
        <v>4252</v>
      </c>
      <c r="E1082" t="s">
        <v>4232</v>
      </c>
      <c r="F1082" t="s">
        <v>1</v>
      </c>
      <c r="G1082">
        <v>81350250</v>
      </c>
      <c r="H1082" t="s">
        <v>4253</v>
      </c>
      <c r="I1082" t="s">
        <v>4254</v>
      </c>
      <c r="J1082" t="s">
        <v>46</v>
      </c>
      <c r="K1082">
        <v>11</v>
      </c>
      <c r="L1082">
        <v>4</v>
      </c>
      <c r="M1082">
        <v>2025</v>
      </c>
      <c r="N1082" t="s">
        <v>47</v>
      </c>
      <c r="O1082" s="5">
        <f>DATE(Tabela1[[#This Row],[vigencia ano]],Tabela1[[#This Row],[vigencia mês]],Tabela1[[#This Row],[vigencia dia]])</f>
        <v>45758</v>
      </c>
    </row>
    <row r="1083" spans="1:15" x14ac:dyDescent="0.25">
      <c r="A1083" t="s">
        <v>41</v>
      </c>
      <c r="B1083" t="s">
        <v>4255</v>
      </c>
      <c r="C1083" s="1">
        <v>3020839000180</v>
      </c>
      <c r="D1083" t="s">
        <v>4256</v>
      </c>
      <c r="E1083" t="s">
        <v>4232</v>
      </c>
      <c r="F1083" t="s">
        <v>1</v>
      </c>
      <c r="G1083">
        <v>81870020</v>
      </c>
      <c r="H1083" t="s">
        <v>4257</v>
      </c>
      <c r="I1083" t="s">
        <v>4258</v>
      </c>
      <c r="J1083" t="s">
        <v>56</v>
      </c>
      <c r="K1083">
        <v>12</v>
      </c>
      <c r="L1083">
        <v>23</v>
      </c>
      <c r="M1083">
        <v>2024</v>
      </c>
      <c r="N1083" t="s">
        <v>47</v>
      </c>
      <c r="O1083" s="5">
        <f>DATE(Tabela1[[#This Row],[vigencia ano]],Tabela1[[#This Row],[vigencia mês]],Tabela1[[#This Row],[vigencia dia]])</f>
        <v>45973</v>
      </c>
    </row>
    <row r="1084" spans="1:15" x14ac:dyDescent="0.25">
      <c r="A1084" t="s">
        <v>41</v>
      </c>
      <c r="B1084" t="s">
        <v>4259</v>
      </c>
      <c r="C1084" s="1">
        <v>79608055000139</v>
      </c>
      <c r="D1084" t="s">
        <v>4260</v>
      </c>
      <c r="E1084" t="s">
        <v>4232</v>
      </c>
      <c r="F1084" t="s">
        <v>1</v>
      </c>
      <c r="G1084">
        <v>80060150</v>
      </c>
      <c r="H1084" t="s">
        <v>4261</v>
      </c>
      <c r="I1084" t="s">
        <v>4262</v>
      </c>
      <c r="J1084" t="s">
        <v>56</v>
      </c>
      <c r="K1084">
        <v>4</v>
      </c>
      <c r="L1084">
        <v>18</v>
      </c>
      <c r="M1084">
        <v>2033</v>
      </c>
      <c r="N1084" t="s">
        <v>47</v>
      </c>
      <c r="O1084" s="5">
        <f>DATE(Tabela1[[#This Row],[vigencia ano]],Tabela1[[#This Row],[vigencia mês]],Tabela1[[#This Row],[vigencia dia]])</f>
        <v>49099</v>
      </c>
    </row>
    <row r="1085" spans="1:15" x14ac:dyDescent="0.25">
      <c r="A1085" t="s">
        <v>41</v>
      </c>
      <c r="B1085" t="s">
        <v>4263</v>
      </c>
      <c r="C1085" s="1">
        <v>24949709000104</v>
      </c>
      <c r="D1085" t="s">
        <v>4264</v>
      </c>
      <c r="E1085" t="s">
        <v>4232</v>
      </c>
      <c r="F1085" t="s">
        <v>1</v>
      </c>
      <c r="G1085">
        <v>80010200</v>
      </c>
      <c r="H1085" t="s">
        <v>4265</v>
      </c>
      <c r="I1085" t="s">
        <v>4266</v>
      </c>
      <c r="J1085" t="s">
        <v>56</v>
      </c>
      <c r="K1085">
        <v>3</v>
      </c>
      <c r="L1085">
        <v>18</v>
      </c>
      <c r="M1085">
        <v>2030</v>
      </c>
      <c r="N1085" t="s">
        <v>47</v>
      </c>
      <c r="O1085" s="5">
        <f>DATE(Tabela1[[#This Row],[vigencia ano]],Tabela1[[#This Row],[vigencia mês]],Tabela1[[#This Row],[vigencia dia]])</f>
        <v>48002</v>
      </c>
    </row>
    <row r="1086" spans="1:15" x14ac:dyDescent="0.25">
      <c r="A1086" t="s">
        <v>41</v>
      </c>
      <c r="B1086" t="s">
        <v>4267</v>
      </c>
      <c r="C1086" s="1">
        <v>16733696000103</v>
      </c>
      <c r="D1086" t="s">
        <v>4268</v>
      </c>
      <c r="E1086" t="s">
        <v>4232</v>
      </c>
      <c r="F1086" t="s">
        <v>1</v>
      </c>
      <c r="G1086">
        <v>80420210</v>
      </c>
      <c r="H1086" t="s">
        <v>4269</v>
      </c>
      <c r="I1086" t="s">
        <v>4270</v>
      </c>
      <c r="J1086" t="s">
        <v>56</v>
      </c>
      <c r="K1086">
        <v>9</v>
      </c>
      <c r="L1086">
        <v>10</v>
      </c>
      <c r="M1086">
        <v>2023</v>
      </c>
      <c r="N1086" t="s">
        <v>47</v>
      </c>
      <c r="O1086" s="5">
        <f>DATE(Tabela1[[#This Row],[vigencia ano]],Tabela1[[#This Row],[vigencia mês]],Tabela1[[#This Row],[vigencia dia]])</f>
        <v>45208</v>
      </c>
    </row>
    <row r="1087" spans="1:15" x14ac:dyDescent="0.25">
      <c r="A1087" t="s">
        <v>41</v>
      </c>
      <c r="B1087" t="s">
        <v>4271</v>
      </c>
      <c r="C1087" s="1">
        <v>7067114000106</v>
      </c>
      <c r="D1087" t="s">
        <v>4272</v>
      </c>
      <c r="E1087" t="s">
        <v>4232</v>
      </c>
      <c r="F1087" t="s">
        <v>1</v>
      </c>
      <c r="G1087">
        <v>80250080</v>
      </c>
      <c r="H1087" t="s">
        <v>4273</v>
      </c>
      <c r="I1087" t="s">
        <v>4274</v>
      </c>
      <c r="J1087" t="s">
        <v>56</v>
      </c>
      <c r="K1087">
        <v>12</v>
      </c>
      <c r="L1087">
        <v>16</v>
      </c>
      <c r="M1087">
        <v>2023</v>
      </c>
      <c r="N1087" t="s">
        <v>47</v>
      </c>
      <c r="O1087" s="5">
        <f>DATE(Tabela1[[#This Row],[vigencia ano]],Tabela1[[#This Row],[vigencia mês]],Tabela1[[#This Row],[vigencia dia]])</f>
        <v>45394</v>
      </c>
    </row>
    <row r="1088" spans="1:15" x14ac:dyDescent="0.25">
      <c r="A1088" t="s">
        <v>41</v>
      </c>
      <c r="B1088" t="s">
        <v>4275</v>
      </c>
      <c r="C1088" s="1">
        <v>14447169000107</v>
      </c>
      <c r="D1088" t="s">
        <v>4276</v>
      </c>
      <c r="E1088" t="s">
        <v>4232</v>
      </c>
      <c r="F1088" t="s">
        <v>1</v>
      </c>
      <c r="G1088">
        <v>82520190</v>
      </c>
      <c r="H1088" t="s">
        <v>4277</v>
      </c>
      <c r="I1088" t="s">
        <v>4278</v>
      </c>
      <c r="J1088" t="s">
        <v>56</v>
      </c>
      <c r="K1088">
        <v>10</v>
      </c>
      <c r="L1088">
        <v>4</v>
      </c>
      <c r="M1088">
        <v>2022</v>
      </c>
      <c r="N1088" t="s">
        <v>47</v>
      </c>
      <c r="O1088" s="5">
        <f>DATE(Tabela1[[#This Row],[vigencia ano]],Tabela1[[#This Row],[vigencia mês]],Tabela1[[#This Row],[vigencia dia]])</f>
        <v>44661</v>
      </c>
    </row>
    <row r="1089" spans="1:15" x14ac:dyDescent="0.25">
      <c r="A1089" t="s">
        <v>41</v>
      </c>
      <c r="B1089" t="s">
        <v>4279</v>
      </c>
      <c r="C1089" s="1">
        <v>46699616000101</v>
      </c>
      <c r="D1089" t="s">
        <v>4280</v>
      </c>
      <c r="E1089" t="s">
        <v>4232</v>
      </c>
      <c r="F1089" t="s">
        <v>1</v>
      </c>
      <c r="G1089">
        <v>80520000</v>
      </c>
      <c r="H1089" t="s">
        <v>367</v>
      </c>
      <c r="I1089" t="s">
        <v>4281</v>
      </c>
      <c r="J1089" t="s">
        <v>56</v>
      </c>
      <c r="K1089">
        <v>9</v>
      </c>
      <c r="L1089">
        <v>15</v>
      </c>
      <c r="M1089">
        <v>2032</v>
      </c>
      <c r="N1089" t="s">
        <v>47</v>
      </c>
      <c r="O1089" s="5">
        <f>DATE(Tabela1[[#This Row],[vigencia ano]],Tabela1[[#This Row],[vigencia mês]],Tabela1[[#This Row],[vigencia dia]])</f>
        <v>48647</v>
      </c>
    </row>
    <row r="1090" spans="1:15" x14ac:dyDescent="0.25">
      <c r="A1090" t="s">
        <v>41</v>
      </c>
      <c r="B1090" t="s">
        <v>4282</v>
      </c>
      <c r="C1090" s="1">
        <v>13279291000140</v>
      </c>
      <c r="D1090" t="s">
        <v>4283</v>
      </c>
      <c r="E1090" t="s">
        <v>4232</v>
      </c>
      <c r="F1090" t="s">
        <v>1</v>
      </c>
      <c r="G1090">
        <v>81870270</v>
      </c>
      <c r="H1090" t="s">
        <v>4284</v>
      </c>
      <c r="I1090" t="s">
        <v>4285</v>
      </c>
      <c r="J1090" t="s">
        <v>56</v>
      </c>
      <c r="K1090">
        <v>2</v>
      </c>
      <c r="L1090">
        <v>13</v>
      </c>
      <c r="M1090">
        <v>2033</v>
      </c>
      <c r="N1090" t="s">
        <v>47</v>
      </c>
      <c r="O1090" s="5">
        <f>DATE(Tabela1[[#This Row],[vigencia ano]],Tabela1[[#This Row],[vigencia mês]],Tabela1[[#This Row],[vigencia dia]])</f>
        <v>48946</v>
      </c>
    </row>
    <row r="1091" spans="1:15" x14ac:dyDescent="0.25">
      <c r="A1091" t="s">
        <v>41</v>
      </c>
      <c r="B1091" t="s">
        <v>4286</v>
      </c>
      <c r="C1091" s="1">
        <v>18642238000186</v>
      </c>
      <c r="D1091" t="s">
        <v>4287</v>
      </c>
      <c r="E1091" t="s">
        <v>4232</v>
      </c>
      <c r="F1091" t="s">
        <v>1</v>
      </c>
      <c r="G1091">
        <v>80410240</v>
      </c>
      <c r="H1091" t="s">
        <v>4288</v>
      </c>
      <c r="I1091" t="s">
        <v>4289</v>
      </c>
      <c r="J1091" t="s">
        <v>56</v>
      </c>
      <c r="K1091">
        <v>10</v>
      </c>
      <c r="L1091">
        <v>24</v>
      </c>
      <c r="M1091">
        <v>2023</v>
      </c>
      <c r="N1091" t="s">
        <v>47</v>
      </c>
      <c r="O1091" s="5">
        <f>DATE(Tabela1[[#This Row],[vigencia ano]],Tabela1[[#This Row],[vigencia mês]],Tabela1[[#This Row],[vigencia dia]])</f>
        <v>45636</v>
      </c>
    </row>
    <row r="1092" spans="1:15" x14ac:dyDescent="0.25">
      <c r="A1092" t="s">
        <v>41</v>
      </c>
      <c r="B1092" t="s">
        <v>4290</v>
      </c>
      <c r="C1092" s="1">
        <v>3307926000112</v>
      </c>
      <c r="D1092" t="s">
        <v>4291</v>
      </c>
      <c r="E1092" t="s">
        <v>4232</v>
      </c>
      <c r="F1092" t="s">
        <v>1</v>
      </c>
      <c r="G1092">
        <v>82920030</v>
      </c>
      <c r="H1092" t="s">
        <v>4292</v>
      </c>
      <c r="I1092" t="s">
        <v>4293</v>
      </c>
      <c r="J1092" t="s">
        <v>46</v>
      </c>
      <c r="K1092">
        <v>11</v>
      </c>
      <c r="L1092">
        <v>6</v>
      </c>
      <c r="M1092">
        <v>2035</v>
      </c>
      <c r="N1092" t="s">
        <v>4294</v>
      </c>
      <c r="O1092" s="5">
        <f>DATE(Tabela1[[#This Row],[vigencia ano]],Tabela1[[#This Row],[vigencia mês]],Tabela1[[#This Row],[vigencia dia]])</f>
        <v>49471</v>
      </c>
    </row>
    <row r="1093" spans="1:15" x14ac:dyDescent="0.25">
      <c r="A1093" t="s">
        <v>41</v>
      </c>
      <c r="B1093" t="s">
        <v>4290</v>
      </c>
      <c r="C1093" s="1">
        <v>3307926000112</v>
      </c>
      <c r="D1093" t="s">
        <v>4291</v>
      </c>
      <c r="E1093" t="s">
        <v>4232</v>
      </c>
      <c r="F1093" t="s">
        <v>1</v>
      </c>
      <c r="G1093">
        <v>82920030</v>
      </c>
      <c r="H1093" t="s">
        <v>4295</v>
      </c>
      <c r="I1093" t="s">
        <v>4293</v>
      </c>
      <c r="J1093" t="s">
        <v>46</v>
      </c>
      <c r="K1093">
        <v>11</v>
      </c>
      <c r="L1093">
        <v>6</v>
      </c>
      <c r="M1093">
        <v>2035</v>
      </c>
      <c r="N1093" t="s">
        <v>4294</v>
      </c>
      <c r="O1093" s="5">
        <f>DATE(Tabela1[[#This Row],[vigencia ano]],Tabela1[[#This Row],[vigencia mês]],Tabela1[[#This Row],[vigencia dia]])</f>
        <v>49471</v>
      </c>
    </row>
    <row r="1094" spans="1:15" x14ac:dyDescent="0.25">
      <c r="A1094" t="s">
        <v>41</v>
      </c>
      <c r="B1094" t="s">
        <v>4296</v>
      </c>
      <c r="C1094" s="1">
        <v>82270711000140</v>
      </c>
      <c r="D1094" t="s">
        <v>4297</v>
      </c>
      <c r="E1094" t="s">
        <v>4232</v>
      </c>
      <c r="F1094" t="s">
        <v>1</v>
      </c>
      <c r="G1094">
        <v>81350100</v>
      </c>
      <c r="H1094" t="s">
        <v>4298</v>
      </c>
      <c r="I1094" t="s">
        <v>4299</v>
      </c>
      <c r="J1094" t="s">
        <v>56</v>
      </c>
      <c r="K1094">
        <v>8</v>
      </c>
      <c r="L1094">
        <v>30</v>
      </c>
      <c r="M1094">
        <v>2022</v>
      </c>
      <c r="N1094" t="s">
        <v>47</v>
      </c>
      <c r="O1094" s="5">
        <f>DATE(Tabela1[[#This Row],[vigencia ano]],Tabela1[[#This Row],[vigencia mês]],Tabela1[[#This Row],[vigencia dia]])</f>
        <v>45451</v>
      </c>
    </row>
    <row r="1095" spans="1:15" x14ac:dyDescent="0.25">
      <c r="A1095" t="s">
        <v>41</v>
      </c>
      <c r="B1095" t="s">
        <v>4300</v>
      </c>
      <c r="C1095" s="1">
        <v>5596191000110</v>
      </c>
      <c r="D1095" t="s">
        <v>4301</v>
      </c>
      <c r="E1095" t="s">
        <v>4232</v>
      </c>
      <c r="F1095" t="s">
        <v>1</v>
      </c>
      <c r="G1095">
        <v>80440000</v>
      </c>
      <c r="H1095" t="s">
        <v>4302</v>
      </c>
      <c r="I1095" t="s">
        <v>4303</v>
      </c>
      <c r="J1095" t="s">
        <v>56</v>
      </c>
      <c r="K1095">
        <v>2</v>
      </c>
      <c r="L1095">
        <v>23</v>
      </c>
      <c r="M1095">
        <v>2016</v>
      </c>
      <c r="N1095" t="s">
        <v>47</v>
      </c>
      <c r="O1095" s="5">
        <f>DATE(Tabela1[[#This Row],[vigencia ano]],Tabela1[[#This Row],[vigencia mês]],Tabela1[[#This Row],[vigencia dia]])</f>
        <v>43041</v>
      </c>
    </row>
    <row r="1096" spans="1:15" x14ac:dyDescent="0.25">
      <c r="A1096" t="s">
        <v>41</v>
      </c>
      <c r="B1096" t="s">
        <v>4304</v>
      </c>
      <c r="C1096" s="1">
        <v>22938131000157</v>
      </c>
      <c r="D1096" t="s">
        <v>4305</v>
      </c>
      <c r="E1096" t="s">
        <v>4232</v>
      </c>
      <c r="F1096" t="s">
        <v>1</v>
      </c>
      <c r="G1096">
        <v>81630240</v>
      </c>
      <c r="H1096" t="s">
        <v>4306</v>
      </c>
      <c r="I1096" t="s">
        <v>4307</v>
      </c>
      <c r="J1096" t="s">
        <v>56</v>
      </c>
      <c r="K1096">
        <v>10</v>
      </c>
      <c r="L1096">
        <v>19</v>
      </c>
      <c r="M1096">
        <v>2028</v>
      </c>
      <c r="N1096" t="s">
        <v>47</v>
      </c>
      <c r="O1096" s="5">
        <f>DATE(Tabela1[[#This Row],[vigencia ano]],Tabela1[[#This Row],[vigencia mês]],Tabela1[[#This Row],[vigencia dia]])</f>
        <v>47309</v>
      </c>
    </row>
    <row r="1097" spans="1:15" x14ac:dyDescent="0.25">
      <c r="A1097" t="s">
        <v>41</v>
      </c>
      <c r="B1097" t="s">
        <v>4308</v>
      </c>
      <c r="C1097" s="1">
        <v>20884061000176</v>
      </c>
      <c r="D1097" t="s">
        <v>4309</v>
      </c>
      <c r="E1097" t="s">
        <v>4232</v>
      </c>
      <c r="F1097" t="s">
        <v>1</v>
      </c>
      <c r="G1097">
        <v>80030030</v>
      </c>
      <c r="H1097" t="s">
        <v>4310</v>
      </c>
      <c r="I1097" t="s">
        <v>4311</v>
      </c>
      <c r="J1097" t="s">
        <v>56</v>
      </c>
      <c r="K1097">
        <v>2</v>
      </c>
      <c r="L1097">
        <v>9</v>
      </c>
      <c r="M1097">
        <v>2028</v>
      </c>
      <c r="N1097" t="s">
        <v>47</v>
      </c>
      <c r="O1097" s="5">
        <f>DATE(Tabela1[[#This Row],[vigencia ano]],Tabela1[[#This Row],[vigencia mês]],Tabela1[[#This Row],[vigencia dia]])</f>
        <v>46998</v>
      </c>
    </row>
    <row r="1098" spans="1:15" x14ac:dyDescent="0.25">
      <c r="A1098" t="s">
        <v>41</v>
      </c>
      <c r="B1098" t="s">
        <v>4312</v>
      </c>
      <c r="C1098" s="1">
        <v>41432943000170</v>
      </c>
      <c r="D1098" t="s">
        <v>4313</v>
      </c>
      <c r="E1098" t="s">
        <v>4232</v>
      </c>
      <c r="F1098" t="s">
        <v>1</v>
      </c>
      <c r="G1098">
        <v>80030030</v>
      </c>
      <c r="H1098" t="s">
        <v>4314</v>
      </c>
      <c r="I1098" t="s">
        <v>4315</v>
      </c>
      <c r="J1098" t="s">
        <v>56</v>
      </c>
      <c r="K1098">
        <v>2</v>
      </c>
      <c r="L1098">
        <v>6</v>
      </c>
      <c r="M1098">
        <v>2033</v>
      </c>
      <c r="N1098" t="s">
        <v>47</v>
      </c>
      <c r="O1098" s="5">
        <f>DATE(Tabela1[[#This Row],[vigencia ano]],Tabela1[[#This Row],[vigencia mês]],Tabela1[[#This Row],[vigencia dia]])</f>
        <v>48732</v>
      </c>
    </row>
    <row r="1099" spans="1:15" x14ac:dyDescent="0.25">
      <c r="A1099" t="s">
        <v>41</v>
      </c>
      <c r="B1099" t="s">
        <v>4316</v>
      </c>
      <c r="C1099" s="1">
        <v>43999424000114</v>
      </c>
      <c r="D1099" t="s">
        <v>4317</v>
      </c>
      <c r="E1099" t="s">
        <v>4232</v>
      </c>
      <c r="F1099" t="s">
        <v>1</v>
      </c>
      <c r="G1099">
        <v>81260900</v>
      </c>
      <c r="H1099" t="s">
        <v>4318</v>
      </c>
      <c r="I1099" t="s">
        <v>4319</v>
      </c>
      <c r="J1099" t="s">
        <v>46</v>
      </c>
      <c r="K1099">
        <v>5</v>
      </c>
      <c r="L1099">
        <v>8</v>
      </c>
      <c r="M1099">
        <v>2017</v>
      </c>
      <c r="N1099" t="s">
        <v>47</v>
      </c>
      <c r="O1099" s="5">
        <f>DATE(Tabela1[[#This Row],[vigencia ano]],Tabela1[[#This Row],[vigencia mês]],Tabela1[[#This Row],[vigencia dia]])</f>
        <v>42952</v>
      </c>
    </row>
    <row r="1100" spans="1:15" x14ac:dyDescent="0.25">
      <c r="A1100" t="s">
        <v>41</v>
      </c>
      <c r="B1100" t="s">
        <v>4316</v>
      </c>
      <c r="C1100" s="1">
        <v>43999424000114</v>
      </c>
      <c r="D1100" t="s">
        <v>4317</v>
      </c>
      <c r="E1100" t="s">
        <v>4232</v>
      </c>
      <c r="F1100" t="s">
        <v>1</v>
      </c>
      <c r="G1100">
        <v>81260900</v>
      </c>
      <c r="H1100" t="s">
        <v>4320</v>
      </c>
      <c r="I1100" t="s">
        <v>4319</v>
      </c>
      <c r="J1100" t="s">
        <v>46</v>
      </c>
      <c r="K1100">
        <v>5</v>
      </c>
      <c r="L1100">
        <v>8</v>
      </c>
      <c r="M1100">
        <v>2017</v>
      </c>
      <c r="N1100" t="s">
        <v>47</v>
      </c>
      <c r="O1100" s="5">
        <f>DATE(Tabela1[[#This Row],[vigencia ano]],Tabela1[[#This Row],[vigencia mês]],Tabela1[[#This Row],[vigencia dia]])</f>
        <v>42952</v>
      </c>
    </row>
    <row r="1101" spans="1:15" x14ac:dyDescent="0.25">
      <c r="A1101" t="s">
        <v>41</v>
      </c>
      <c r="B1101" t="s">
        <v>4321</v>
      </c>
      <c r="C1101" s="1">
        <v>1258944000126</v>
      </c>
      <c r="D1101" t="s">
        <v>4322</v>
      </c>
      <c r="E1101" t="s">
        <v>4232</v>
      </c>
      <c r="F1101" t="s">
        <v>1</v>
      </c>
      <c r="G1101">
        <v>82920030</v>
      </c>
      <c r="H1101" t="s">
        <v>4323</v>
      </c>
      <c r="I1101" t="s">
        <v>4324</v>
      </c>
      <c r="J1101" t="s">
        <v>56</v>
      </c>
      <c r="K1101">
        <v>5</v>
      </c>
      <c r="L1101">
        <v>6</v>
      </c>
      <c r="M1101">
        <v>2035</v>
      </c>
      <c r="N1101" t="s">
        <v>4325</v>
      </c>
      <c r="O1101" s="5">
        <f>DATE(Tabela1[[#This Row],[vigencia ano]],Tabela1[[#This Row],[vigencia mês]],Tabela1[[#This Row],[vigencia dia]])</f>
        <v>49465</v>
      </c>
    </row>
    <row r="1102" spans="1:15" x14ac:dyDescent="0.25">
      <c r="A1102" t="s">
        <v>41</v>
      </c>
      <c r="B1102" t="s">
        <v>4321</v>
      </c>
      <c r="C1102" s="1">
        <v>1258944000126</v>
      </c>
      <c r="D1102" t="s">
        <v>4322</v>
      </c>
      <c r="E1102" t="s">
        <v>4232</v>
      </c>
      <c r="F1102" t="s">
        <v>1</v>
      </c>
      <c r="G1102">
        <v>82920030</v>
      </c>
      <c r="H1102" t="s">
        <v>4326</v>
      </c>
      <c r="I1102" t="s">
        <v>4324</v>
      </c>
      <c r="J1102" t="s">
        <v>56</v>
      </c>
      <c r="K1102">
        <v>5</v>
      </c>
      <c r="L1102">
        <v>6</v>
      </c>
      <c r="M1102">
        <v>2035</v>
      </c>
      <c r="N1102" t="s">
        <v>4325</v>
      </c>
      <c r="O1102" s="5">
        <f>DATE(Tabela1[[#This Row],[vigencia ano]],Tabela1[[#This Row],[vigencia mês]],Tabela1[[#This Row],[vigencia dia]])</f>
        <v>49465</v>
      </c>
    </row>
    <row r="1103" spans="1:15" x14ac:dyDescent="0.25">
      <c r="A1103" t="s">
        <v>41</v>
      </c>
      <c r="B1103" t="s">
        <v>4321</v>
      </c>
      <c r="C1103" s="1">
        <v>1258944000126</v>
      </c>
      <c r="D1103" t="s">
        <v>4322</v>
      </c>
      <c r="E1103" t="s">
        <v>4232</v>
      </c>
      <c r="F1103" t="s">
        <v>1</v>
      </c>
      <c r="G1103">
        <v>82920030</v>
      </c>
      <c r="H1103" t="s">
        <v>4327</v>
      </c>
      <c r="I1103" t="s">
        <v>4324</v>
      </c>
      <c r="J1103" t="s">
        <v>56</v>
      </c>
      <c r="K1103">
        <v>5</v>
      </c>
      <c r="L1103">
        <v>6</v>
      </c>
      <c r="M1103">
        <v>2035</v>
      </c>
      <c r="N1103" t="s">
        <v>4325</v>
      </c>
      <c r="O1103" s="5">
        <f>DATE(Tabela1[[#This Row],[vigencia ano]],Tabela1[[#This Row],[vigencia mês]],Tabela1[[#This Row],[vigencia dia]])</f>
        <v>49465</v>
      </c>
    </row>
    <row r="1104" spans="1:15" x14ac:dyDescent="0.25">
      <c r="A1104" t="s">
        <v>41</v>
      </c>
      <c r="B1104" t="s">
        <v>4328</v>
      </c>
      <c r="C1104" s="1">
        <v>6182002000125</v>
      </c>
      <c r="D1104" t="s">
        <v>4329</v>
      </c>
      <c r="E1104" t="s">
        <v>4330</v>
      </c>
      <c r="F1104" t="s">
        <v>1</v>
      </c>
      <c r="G1104">
        <v>85862210</v>
      </c>
      <c r="H1104" t="s">
        <v>4331</v>
      </c>
      <c r="I1104" t="s">
        <v>4332</v>
      </c>
      <c r="J1104" t="s">
        <v>46</v>
      </c>
      <c r="K1104">
        <v>7</v>
      </c>
      <c r="L1104">
        <v>17</v>
      </c>
      <c r="M1104">
        <v>2036</v>
      </c>
      <c r="N1104" t="s">
        <v>4333</v>
      </c>
      <c r="O1104" s="5">
        <f>DATE(Tabela1[[#This Row],[vigencia ano]],Tabela1[[#This Row],[vigencia mês]],Tabela1[[#This Row],[vigencia dia]])</f>
        <v>50167</v>
      </c>
    </row>
    <row r="1105" spans="1:15" x14ac:dyDescent="0.25">
      <c r="A1105" t="s">
        <v>41</v>
      </c>
      <c r="B1105" t="s">
        <v>4328</v>
      </c>
      <c r="C1105" s="1">
        <v>6182002000125</v>
      </c>
      <c r="D1105" t="s">
        <v>4329</v>
      </c>
      <c r="E1105" t="s">
        <v>4330</v>
      </c>
      <c r="F1105" t="s">
        <v>1</v>
      </c>
      <c r="G1105">
        <v>85862210</v>
      </c>
      <c r="H1105" t="s">
        <v>4334</v>
      </c>
      <c r="I1105" t="s">
        <v>4332</v>
      </c>
      <c r="J1105" t="s">
        <v>46</v>
      </c>
      <c r="K1105">
        <v>7</v>
      </c>
      <c r="L1105">
        <v>17</v>
      </c>
      <c r="M1105">
        <v>2036</v>
      </c>
      <c r="N1105" t="s">
        <v>4333</v>
      </c>
      <c r="O1105" s="5">
        <f>DATE(Tabela1[[#This Row],[vigencia ano]],Tabela1[[#This Row],[vigencia mês]],Tabela1[[#This Row],[vigencia dia]])</f>
        <v>50167</v>
      </c>
    </row>
    <row r="1106" spans="1:15" x14ac:dyDescent="0.25">
      <c r="A1106" t="s">
        <v>41</v>
      </c>
      <c r="B1106" t="s">
        <v>4335</v>
      </c>
      <c r="C1106" s="1">
        <v>5441096000147</v>
      </c>
      <c r="D1106" t="s">
        <v>4336</v>
      </c>
      <c r="E1106" t="s">
        <v>4330</v>
      </c>
      <c r="F1106" t="s">
        <v>1</v>
      </c>
      <c r="G1106">
        <v>85859688</v>
      </c>
      <c r="H1106" t="s">
        <v>4337</v>
      </c>
      <c r="I1106" t="s">
        <v>4338</v>
      </c>
      <c r="J1106" t="s">
        <v>46</v>
      </c>
      <c r="K1106">
        <v>7</v>
      </c>
      <c r="L1106">
        <v>13</v>
      </c>
      <c r="M1106">
        <v>2036</v>
      </c>
      <c r="N1106" t="s">
        <v>4339</v>
      </c>
      <c r="O1106" s="5">
        <f>DATE(Tabela1[[#This Row],[vigencia ano]],Tabela1[[#This Row],[vigencia mês]],Tabela1[[#This Row],[vigencia dia]])</f>
        <v>50047</v>
      </c>
    </row>
    <row r="1107" spans="1:15" x14ac:dyDescent="0.25">
      <c r="A1107" t="s">
        <v>41</v>
      </c>
      <c r="B1107" t="s">
        <v>4340</v>
      </c>
      <c r="C1107" s="1">
        <v>77945368000157</v>
      </c>
      <c r="D1107" t="s">
        <v>4341</v>
      </c>
      <c r="E1107" t="s">
        <v>4330</v>
      </c>
      <c r="F1107" t="s">
        <v>1</v>
      </c>
      <c r="G1107">
        <v>85862210</v>
      </c>
      <c r="H1107" t="s">
        <v>4331</v>
      </c>
      <c r="I1107" t="s">
        <v>4342</v>
      </c>
      <c r="J1107" t="s">
        <v>46</v>
      </c>
      <c r="K1107">
        <v>7</v>
      </c>
      <c r="L1107">
        <v>15</v>
      </c>
      <c r="M1107">
        <v>2036</v>
      </c>
      <c r="N1107" t="s">
        <v>4343</v>
      </c>
      <c r="O1107" s="5">
        <f>DATE(Tabela1[[#This Row],[vigencia ano]],Tabela1[[#This Row],[vigencia mês]],Tabela1[[#This Row],[vigencia dia]])</f>
        <v>50106</v>
      </c>
    </row>
    <row r="1108" spans="1:15" x14ac:dyDescent="0.25">
      <c r="A1108" t="s">
        <v>41</v>
      </c>
      <c r="B1108" t="s">
        <v>4340</v>
      </c>
      <c r="C1108" s="1">
        <v>77945368000157</v>
      </c>
      <c r="D1108" t="s">
        <v>4341</v>
      </c>
      <c r="E1108" t="s">
        <v>4330</v>
      </c>
      <c r="F1108" t="s">
        <v>1</v>
      </c>
      <c r="G1108">
        <v>85862210</v>
      </c>
      <c r="H1108" t="s">
        <v>4334</v>
      </c>
      <c r="I1108" t="s">
        <v>4342</v>
      </c>
      <c r="J1108" t="s">
        <v>46</v>
      </c>
      <c r="K1108">
        <v>7</v>
      </c>
      <c r="L1108">
        <v>15</v>
      </c>
      <c r="M1108">
        <v>2036</v>
      </c>
      <c r="N1108" t="s">
        <v>4343</v>
      </c>
      <c r="O1108" s="5">
        <f>DATE(Tabela1[[#This Row],[vigencia ano]],Tabela1[[#This Row],[vigencia mês]],Tabela1[[#This Row],[vigencia dia]])</f>
        <v>50106</v>
      </c>
    </row>
    <row r="1109" spans="1:15" x14ac:dyDescent="0.25">
      <c r="A1109" t="s">
        <v>41</v>
      </c>
      <c r="B1109" t="s">
        <v>4344</v>
      </c>
      <c r="C1109" s="1">
        <v>82355629000119</v>
      </c>
      <c r="D1109" t="s">
        <v>4345</v>
      </c>
      <c r="E1109" t="s">
        <v>4346</v>
      </c>
      <c r="F1109" t="s">
        <v>1</v>
      </c>
      <c r="G1109">
        <v>85015370</v>
      </c>
      <c r="H1109" t="s">
        <v>4347</v>
      </c>
      <c r="I1109" t="s">
        <v>4348</v>
      </c>
      <c r="J1109" t="s">
        <v>56</v>
      </c>
      <c r="K1109">
        <v>1</v>
      </c>
      <c r="L1109">
        <v>24</v>
      </c>
      <c r="M1109">
        <v>2024</v>
      </c>
      <c r="N1109" t="s">
        <v>47</v>
      </c>
      <c r="O1109" s="5">
        <f>DATE(Tabela1[[#This Row],[vigencia ano]],Tabela1[[#This Row],[vigencia mês]],Tabela1[[#This Row],[vigencia dia]])</f>
        <v>45992</v>
      </c>
    </row>
    <row r="1110" spans="1:15" x14ac:dyDescent="0.25">
      <c r="A1110" t="s">
        <v>41</v>
      </c>
      <c r="B1110" t="s">
        <v>4349</v>
      </c>
      <c r="C1110" s="1">
        <v>3286888000169</v>
      </c>
      <c r="D1110" t="s">
        <v>4350</v>
      </c>
      <c r="E1110" t="s">
        <v>4351</v>
      </c>
      <c r="F1110" t="s">
        <v>1</v>
      </c>
      <c r="G1110">
        <v>86050450</v>
      </c>
      <c r="H1110" t="s">
        <v>4352</v>
      </c>
      <c r="I1110" t="s">
        <v>4353</v>
      </c>
      <c r="J1110" t="s">
        <v>56</v>
      </c>
      <c r="K1110">
        <v>10</v>
      </c>
      <c r="L1110">
        <v>15</v>
      </c>
      <c r="M1110">
        <v>2031</v>
      </c>
      <c r="N1110" t="s">
        <v>47</v>
      </c>
      <c r="O1110" s="5">
        <f>DATE(Tabela1[[#This Row],[vigencia ano]],Tabela1[[#This Row],[vigencia mês]],Tabela1[[#This Row],[vigencia dia]])</f>
        <v>48283</v>
      </c>
    </row>
    <row r="1111" spans="1:15" x14ac:dyDescent="0.25">
      <c r="A1111" t="s">
        <v>41</v>
      </c>
      <c r="B1111" t="s">
        <v>4354</v>
      </c>
      <c r="C1111" s="1">
        <v>5089654000157</v>
      </c>
      <c r="D1111" t="s">
        <v>4355</v>
      </c>
      <c r="E1111" t="s">
        <v>4351</v>
      </c>
      <c r="F1111" t="s">
        <v>1</v>
      </c>
      <c r="G1111">
        <v>86072400</v>
      </c>
      <c r="H1111" t="s">
        <v>4356</v>
      </c>
      <c r="I1111" t="s">
        <v>4357</v>
      </c>
      <c r="J1111" t="s">
        <v>46</v>
      </c>
      <c r="K1111">
        <v>12</v>
      </c>
      <c r="L1111">
        <v>10</v>
      </c>
      <c r="M1111">
        <v>2029</v>
      </c>
      <c r="N1111" t="s">
        <v>47</v>
      </c>
      <c r="O1111" s="5">
        <f>DATE(Tabela1[[#This Row],[vigencia ano]],Tabela1[[#This Row],[vigencia mês]],Tabela1[[#This Row],[vigencia dia]])</f>
        <v>47403</v>
      </c>
    </row>
    <row r="1112" spans="1:15" x14ac:dyDescent="0.25">
      <c r="A1112" t="s">
        <v>41</v>
      </c>
      <c r="B1112" t="s">
        <v>4358</v>
      </c>
      <c r="C1112" s="1">
        <v>3837329000108</v>
      </c>
      <c r="D1112" t="s">
        <v>4359</v>
      </c>
      <c r="E1112" t="s">
        <v>4360</v>
      </c>
      <c r="F1112" t="s">
        <v>1</v>
      </c>
      <c r="G1112">
        <v>87065000</v>
      </c>
      <c r="H1112" t="s">
        <v>4361</v>
      </c>
      <c r="I1112" t="s">
        <v>4362</v>
      </c>
      <c r="J1112" t="s">
        <v>46</v>
      </c>
      <c r="K1112">
        <v>2</v>
      </c>
      <c r="L1112">
        <v>2</v>
      </c>
      <c r="M1112">
        <v>2019</v>
      </c>
      <c r="N1112" t="s">
        <v>47</v>
      </c>
      <c r="O1112" s="5">
        <f>DATE(Tabela1[[#This Row],[vigencia ano]],Tabela1[[#This Row],[vigencia mês]],Tabela1[[#This Row],[vigencia dia]])</f>
        <v>43498</v>
      </c>
    </row>
    <row r="1113" spans="1:15" x14ac:dyDescent="0.25">
      <c r="A1113" t="s">
        <v>41</v>
      </c>
      <c r="B1113" t="s">
        <v>4363</v>
      </c>
      <c r="C1113" s="1">
        <v>79139762000123</v>
      </c>
      <c r="D1113" t="s">
        <v>4364</v>
      </c>
      <c r="E1113" t="s">
        <v>4360</v>
      </c>
      <c r="F1113" t="s">
        <v>1</v>
      </c>
      <c r="G1113">
        <v>87065000</v>
      </c>
      <c r="H1113" t="s">
        <v>247</v>
      </c>
      <c r="I1113" t="s">
        <v>4365</v>
      </c>
      <c r="J1113" t="s">
        <v>56</v>
      </c>
      <c r="K1113">
        <v>5</v>
      </c>
      <c r="L1113">
        <v>23</v>
      </c>
      <c r="M1113">
        <v>2024</v>
      </c>
      <c r="N1113" t="s">
        <v>47</v>
      </c>
      <c r="O1113" s="5">
        <f>DATE(Tabela1[[#This Row],[vigencia ano]],Tabela1[[#This Row],[vigencia mês]],Tabela1[[#This Row],[vigencia dia]])</f>
        <v>45966</v>
      </c>
    </row>
    <row r="1114" spans="1:15" x14ac:dyDescent="0.25">
      <c r="A1114" t="s">
        <v>41</v>
      </c>
      <c r="B1114" t="s">
        <v>4366</v>
      </c>
      <c r="C1114" s="1">
        <v>12191933000192</v>
      </c>
      <c r="D1114" t="s">
        <v>4367</v>
      </c>
      <c r="E1114" t="s">
        <v>4360</v>
      </c>
      <c r="F1114" t="s">
        <v>1</v>
      </c>
      <c r="G1114">
        <v>7030410</v>
      </c>
      <c r="H1114" t="s">
        <v>4368</v>
      </c>
      <c r="I1114" t="s">
        <v>4369</v>
      </c>
      <c r="J1114" t="s">
        <v>56</v>
      </c>
      <c r="K1114">
        <v>10</v>
      </c>
      <c r="L1114">
        <v>5</v>
      </c>
      <c r="M1114">
        <v>2030</v>
      </c>
      <c r="N1114" t="s">
        <v>47</v>
      </c>
      <c r="O1114" s="5">
        <f>DATE(Tabela1[[#This Row],[vigencia ano]],Tabela1[[#This Row],[vigencia mês]],Tabela1[[#This Row],[vigencia dia]])</f>
        <v>47613</v>
      </c>
    </row>
    <row r="1115" spans="1:15" x14ac:dyDescent="0.25">
      <c r="A1115" t="s">
        <v>41</v>
      </c>
      <c r="B1115" t="s">
        <v>4370</v>
      </c>
      <c r="C1115" s="1">
        <v>7569161000140</v>
      </c>
      <c r="D1115" t="s">
        <v>4371</v>
      </c>
      <c r="E1115" t="s">
        <v>4360</v>
      </c>
      <c r="F1115" t="s">
        <v>1</v>
      </c>
      <c r="G1115">
        <v>87035510</v>
      </c>
      <c r="H1115" t="s">
        <v>4372</v>
      </c>
      <c r="I1115" t="s">
        <v>4373</v>
      </c>
      <c r="J1115" t="s">
        <v>56</v>
      </c>
      <c r="K1115">
        <v>11</v>
      </c>
      <c r="L1115">
        <v>20</v>
      </c>
      <c r="M1115">
        <v>2030</v>
      </c>
      <c r="N1115" t="s">
        <v>47</v>
      </c>
      <c r="O1115" s="5">
        <f>DATE(Tabela1[[#This Row],[vigencia ano]],Tabela1[[#This Row],[vigencia mês]],Tabela1[[#This Row],[vigencia dia]])</f>
        <v>48071</v>
      </c>
    </row>
    <row r="1116" spans="1:15" x14ac:dyDescent="0.25">
      <c r="A1116" t="s">
        <v>41</v>
      </c>
      <c r="B1116" t="s">
        <v>4374</v>
      </c>
      <c r="C1116" s="1">
        <v>18151279000170</v>
      </c>
      <c r="D1116" t="s">
        <v>4375</v>
      </c>
      <c r="E1116" t="s">
        <v>4376</v>
      </c>
      <c r="F1116" t="s">
        <v>1</v>
      </c>
      <c r="G1116">
        <v>83203550</v>
      </c>
      <c r="H1116" t="s">
        <v>4377</v>
      </c>
      <c r="I1116" t="s">
        <v>4378</v>
      </c>
      <c r="J1116" t="s">
        <v>56</v>
      </c>
      <c r="K1116">
        <v>2</v>
      </c>
      <c r="L1116">
        <v>3</v>
      </c>
      <c r="M1116">
        <v>2025</v>
      </c>
      <c r="N1116" t="s">
        <v>47</v>
      </c>
      <c r="O1116" s="5">
        <f>DATE(Tabela1[[#This Row],[vigencia ano]],Tabela1[[#This Row],[vigencia mês]],Tabela1[[#This Row],[vigencia dia]])</f>
        <v>45718</v>
      </c>
    </row>
    <row r="1117" spans="1:15" x14ac:dyDescent="0.25">
      <c r="A1117" t="s">
        <v>41</v>
      </c>
      <c r="B1117" t="s">
        <v>4379</v>
      </c>
      <c r="C1117" s="1">
        <v>81716144000140</v>
      </c>
      <c r="D1117" t="s">
        <v>4380</v>
      </c>
      <c r="E1117" t="s">
        <v>4376</v>
      </c>
      <c r="F1117" t="s">
        <v>1</v>
      </c>
      <c r="G1117">
        <v>83203400</v>
      </c>
      <c r="H1117" t="s">
        <v>4381</v>
      </c>
      <c r="I1117" t="s">
        <v>4382</v>
      </c>
      <c r="J1117" t="s">
        <v>56</v>
      </c>
      <c r="K1117">
        <v>3</v>
      </c>
      <c r="L1117">
        <v>21</v>
      </c>
      <c r="M1117">
        <v>2035</v>
      </c>
      <c r="N1117" t="s">
        <v>4383</v>
      </c>
      <c r="O1117" s="5">
        <f>DATE(Tabela1[[#This Row],[vigencia ano]],Tabela1[[#This Row],[vigencia mês]],Tabela1[[#This Row],[vigencia dia]])</f>
        <v>49921</v>
      </c>
    </row>
    <row r="1118" spans="1:15" x14ac:dyDescent="0.25">
      <c r="A1118" t="s">
        <v>41</v>
      </c>
      <c r="B1118" t="s">
        <v>4384</v>
      </c>
      <c r="C1118" s="1">
        <v>75294801000106</v>
      </c>
      <c r="D1118" t="s">
        <v>4385</v>
      </c>
      <c r="E1118" t="s">
        <v>4376</v>
      </c>
      <c r="F1118" t="s">
        <v>1</v>
      </c>
      <c r="G1118">
        <v>83203540</v>
      </c>
      <c r="H1118" t="s">
        <v>4386</v>
      </c>
      <c r="I1118" t="s">
        <v>4387</v>
      </c>
      <c r="J1118" t="s">
        <v>46</v>
      </c>
      <c r="K1118">
        <v>2</v>
      </c>
      <c r="L1118">
        <v>7</v>
      </c>
      <c r="M1118">
        <v>2032</v>
      </c>
      <c r="N1118" t="s">
        <v>47</v>
      </c>
      <c r="O1118" s="5">
        <f>DATE(Tabela1[[#This Row],[vigencia ano]],Tabela1[[#This Row],[vigencia mês]],Tabela1[[#This Row],[vigencia dia]])</f>
        <v>48397</v>
      </c>
    </row>
    <row r="1119" spans="1:15" x14ac:dyDescent="0.25">
      <c r="A1119" t="s">
        <v>41</v>
      </c>
      <c r="B1119" t="s">
        <v>4388</v>
      </c>
      <c r="C1119" s="1">
        <v>77024644000144</v>
      </c>
      <c r="D1119" t="s">
        <v>4389</v>
      </c>
      <c r="E1119" t="s">
        <v>4390</v>
      </c>
      <c r="F1119" t="s">
        <v>1</v>
      </c>
      <c r="G1119">
        <v>85200000</v>
      </c>
      <c r="H1119" t="s">
        <v>4391</v>
      </c>
      <c r="I1119" t="s">
        <v>4392</v>
      </c>
      <c r="J1119" t="s">
        <v>56</v>
      </c>
      <c r="K1119">
        <v>11</v>
      </c>
      <c r="L1119">
        <v>1</v>
      </c>
      <c r="M1119">
        <v>2032</v>
      </c>
      <c r="N1119" t="s">
        <v>47</v>
      </c>
      <c r="O1119" s="5">
        <f>DATE(Tabela1[[#This Row],[vigencia ano]],Tabela1[[#This Row],[vigencia mês]],Tabela1[[#This Row],[vigencia dia]])</f>
        <v>48224</v>
      </c>
    </row>
    <row r="1120" spans="1:15" x14ac:dyDescent="0.25">
      <c r="A1120" t="s">
        <v>41</v>
      </c>
      <c r="B1120" t="s">
        <v>4393</v>
      </c>
      <c r="C1120" s="1">
        <v>18375720000105</v>
      </c>
      <c r="D1120" t="s">
        <v>4394</v>
      </c>
      <c r="E1120" t="s">
        <v>4395</v>
      </c>
      <c r="F1120" t="s">
        <v>1</v>
      </c>
      <c r="G1120">
        <v>83255000</v>
      </c>
      <c r="H1120" t="s">
        <v>4396</v>
      </c>
      <c r="I1120" t="s">
        <v>4397</v>
      </c>
      <c r="J1120" t="s">
        <v>56</v>
      </c>
      <c r="K1120">
        <v>4</v>
      </c>
      <c r="L1120">
        <v>5</v>
      </c>
      <c r="M1120">
        <v>2028</v>
      </c>
      <c r="N1120" t="s">
        <v>47</v>
      </c>
      <c r="O1120" s="5">
        <f>DATE(Tabela1[[#This Row],[vigencia ano]],Tabela1[[#This Row],[vigencia mês]],Tabela1[[#This Row],[vigencia dia]])</f>
        <v>46877</v>
      </c>
    </row>
    <row r="1121" spans="1:15" x14ac:dyDescent="0.25">
      <c r="A1121" t="s">
        <v>41</v>
      </c>
      <c r="B1121" t="s">
        <v>4398</v>
      </c>
      <c r="C1121" s="1">
        <v>79458584000101</v>
      </c>
      <c r="D1121" t="s">
        <v>4399</v>
      </c>
      <c r="E1121" t="s">
        <v>4400</v>
      </c>
      <c r="F1121" t="s">
        <v>1</v>
      </c>
      <c r="G1121">
        <v>83015162</v>
      </c>
      <c r="H1121" t="s">
        <v>4401</v>
      </c>
      <c r="I1121" t="s">
        <v>4402</v>
      </c>
      <c r="J1121" t="s">
        <v>56</v>
      </c>
      <c r="K1121">
        <v>7</v>
      </c>
      <c r="L1121">
        <v>31</v>
      </c>
      <c r="M1121">
        <v>2034</v>
      </c>
      <c r="N1121" t="s">
        <v>47</v>
      </c>
      <c r="O1121" s="5">
        <f>DATE(Tabela1[[#This Row],[vigencia ano]],Tabela1[[#This Row],[vigencia mês]],Tabela1[[#This Row],[vigencia dia]])</f>
        <v>49863</v>
      </c>
    </row>
    <row r="1122" spans="1:15" x14ac:dyDescent="0.25">
      <c r="A1122" t="s">
        <v>41</v>
      </c>
      <c r="B1122" t="s">
        <v>4403</v>
      </c>
      <c r="C1122" s="1">
        <v>8808582000149</v>
      </c>
      <c r="D1122" t="s">
        <v>4404</v>
      </c>
      <c r="E1122" t="s">
        <v>4400</v>
      </c>
      <c r="F1122" t="s">
        <v>1</v>
      </c>
      <c r="G1122">
        <v>83025580</v>
      </c>
      <c r="H1122" t="s">
        <v>4405</v>
      </c>
      <c r="I1122" t="s">
        <v>4406</v>
      </c>
      <c r="J1122" t="s">
        <v>46</v>
      </c>
      <c r="K1122">
        <v>8</v>
      </c>
      <c r="L1122">
        <v>23</v>
      </c>
      <c r="M1122">
        <v>2028</v>
      </c>
      <c r="N1122" t="s">
        <v>47</v>
      </c>
      <c r="O1122" s="5">
        <f>DATE(Tabela1[[#This Row],[vigencia ano]],Tabela1[[#This Row],[vigencia mês]],Tabela1[[#This Row],[vigencia dia]])</f>
        <v>47430</v>
      </c>
    </row>
    <row r="1123" spans="1:15" x14ac:dyDescent="0.25">
      <c r="A1123" t="s">
        <v>41</v>
      </c>
      <c r="B1123" t="s">
        <v>4407</v>
      </c>
      <c r="C1123" s="1">
        <v>28966357000148</v>
      </c>
      <c r="D1123" t="s">
        <v>4408</v>
      </c>
      <c r="E1123" t="s">
        <v>4400</v>
      </c>
      <c r="F1123" t="s">
        <v>1</v>
      </c>
      <c r="G1123">
        <v>83025580</v>
      </c>
      <c r="H1123" t="s">
        <v>4409</v>
      </c>
      <c r="I1123" t="s">
        <v>4410</v>
      </c>
      <c r="J1123" t="s">
        <v>56</v>
      </c>
      <c r="K1123">
        <v>11</v>
      </c>
      <c r="L1123">
        <v>5</v>
      </c>
      <c r="M1123">
        <v>2031</v>
      </c>
      <c r="N1123" t="s">
        <v>47</v>
      </c>
      <c r="O1123" s="5">
        <f>DATE(Tabela1[[#This Row],[vigencia ano]],Tabela1[[#This Row],[vigencia mês]],Tabela1[[#This Row],[vigencia dia]])</f>
        <v>47979</v>
      </c>
    </row>
    <row r="1124" spans="1:15" x14ac:dyDescent="0.25">
      <c r="A1124" t="s">
        <v>41</v>
      </c>
      <c r="B1124" t="s">
        <v>4411</v>
      </c>
      <c r="C1124" s="1">
        <v>1730135000175</v>
      </c>
      <c r="D1124" t="s">
        <v>4412</v>
      </c>
      <c r="E1124" t="s">
        <v>4400</v>
      </c>
      <c r="F1124" t="s">
        <v>1</v>
      </c>
      <c r="G1124">
        <v>83055320</v>
      </c>
      <c r="H1124" t="s">
        <v>4413</v>
      </c>
      <c r="I1124" t="s">
        <v>4414</v>
      </c>
      <c r="J1124" t="s">
        <v>56</v>
      </c>
      <c r="K1124">
        <v>9</v>
      </c>
      <c r="L1124">
        <v>2</v>
      </c>
      <c r="M1124">
        <v>2032</v>
      </c>
      <c r="N1124" t="s">
        <v>47</v>
      </c>
      <c r="O1124" s="5">
        <f>DATE(Tabela1[[#This Row],[vigencia ano]],Tabela1[[#This Row],[vigencia mês]],Tabela1[[#This Row],[vigencia dia]])</f>
        <v>48253</v>
      </c>
    </row>
    <row r="1125" spans="1:15" x14ac:dyDescent="0.25">
      <c r="A1125" t="s">
        <v>41</v>
      </c>
      <c r="B1125" t="s">
        <v>4415</v>
      </c>
      <c r="C1125" s="1">
        <v>76416718000125</v>
      </c>
      <c r="D1125" t="s">
        <v>4416</v>
      </c>
      <c r="E1125" t="s">
        <v>4400</v>
      </c>
      <c r="F1125" t="s">
        <v>1</v>
      </c>
      <c r="G1125">
        <v>83200000</v>
      </c>
      <c r="H1125" t="s">
        <v>4417</v>
      </c>
      <c r="I1125" t="s">
        <v>4418</v>
      </c>
      <c r="J1125" t="s">
        <v>46</v>
      </c>
      <c r="K1125">
        <v>8</v>
      </c>
      <c r="L1125">
        <v>19</v>
      </c>
      <c r="M1125">
        <v>2015</v>
      </c>
      <c r="N1125" t="s">
        <v>47</v>
      </c>
      <c r="O1125" s="5">
        <f>DATE(Tabela1[[#This Row],[vigencia ano]],Tabela1[[#This Row],[vigencia mês]],Tabela1[[#This Row],[vigencia dia]])</f>
        <v>42559</v>
      </c>
    </row>
    <row r="1126" spans="1:15" x14ac:dyDescent="0.25">
      <c r="A1126" t="s">
        <v>41</v>
      </c>
      <c r="B1126" t="s">
        <v>4419</v>
      </c>
      <c r="C1126" s="1">
        <v>1107327000120</v>
      </c>
      <c r="D1126" t="s">
        <v>4420</v>
      </c>
      <c r="E1126" t="s">
        <v>4400</v>
      </c>
      <c r="F1126" t="s">
        <v>1</v>
      </c>
      <c r="G1126">
        <v>83015810</v>
      </c>
      <c r="H1126" t="s">
        <v>4421</v>
      </c>
      <c r="I1126" t="s">
        <v>4422</v>
      </c>
      <c r="J1126" t="s">
        <v>46</v>
      </c>
      <c r="K1126">
        <v>10</v>
      </c>
      <c r="L1126">
        <v>24</v>
      </c>
      <c r="M1126">
        <v>2028</v>
      </c>
      <c r="N1126" t="s">
        <v>47</v>
      </c>
      <c r="O1126" s="5">
        <f>DATE(Tabela1[[#This Row],[vigencia ano]],Tabela1[[#This Row],[vigencia mês]],Tabela1[[#This Row],[vigencia dia]])</f>
        <v>47462</v>
      </c>
    </row>
    <row r="1127" spans="1:15" x14ac:dyDescent="0.25">
      <c r="A1127" t="s">
        <v>41</v>
      </c>
      <c r="B1127" t="s">
        <v>4423</v>
      </c>
      <c r="C1127" s="1">
        <v>2096806000150</v>
      </c>
      <c r="D1127" t="s">
        <v>4424</v>
      </c>
      <c r="E1127" t="s">
        <v>4400</v>
      </c>
      <c r="F1127" t="s">
        <v>1</v>
      </c>
      <c r="G1127">
        <v>83075000</v>
      </c>
      <c r="H1127" t="s">
        <v>4425</v>
      </c>
      <c r="I1127" t="s">
        <v>4426</v>
      </c>
      <c r="J1127" t="s">
        <v>46</v>
      </c>
      <c r="K1127">
        <v>4</v>
      </c>
      <c r="L1127">
        <v>29</v>
      </c>
      <c r="M1127">
        <v>2015</v>
      </c>
      <c r="N1127" t="s">
        <v>47</v>
      </c>
      <c r="O1127" s="5">
        <f>DATE(Tabela1[[#This Row],[vigencia ano]],Tabela1[[#This Row],[vigencia mês]],Tabela1[[#This Row],[vigencia dia]])</f>
        <v>42859</v>
      </c>
    </row>
    <row r="1128" spans="1:15" x14ac:dyDescent="0.25">
      <c r="A1128" t="s">
        <v>41</v>
      </c>
      <c r="B1128" t="s">
        <v>4423</v>
      </c>
      <c r="C1128" s="1">
        <v>2096806000150</v>
      </c>
      <c r="D1128" t="s">
        <v>4424</v>
      </c>
      <c r="E1128" t="s">
        <v>4400</v>
      </c>
      <c r="F1128" t="s">
        <v>1</v>
      </c>
      <c r="G1128">
        <v>83075000</v>
      </c>
      <c r="H1128" t="s">
        <v>4427</v>
      </c>
      <c r="I1128" t="s">
        <v>4426</v>
      </c>
      <c r="J1128" t="s">
        <v>46</v>
      </c>
      <c r="K1128">
        <v>4</v>
      </c>
      <c r="L1128">
        <v>29</v>
      </c>
      <c r="M1128">
        <v>2015</v>
      </c>
      <c r="N1128" t="s">
        <v>47</v>
      </c>
      <c r="O1128" s="5">
        <f>DATE(Tabela1[[#This Row],[vigencia ano]],Tabela1[[#This Row],[vigencia mês]],Tabela1[[#This Row],[vigencia dia]])</f>
        <v>42859</v>
      </c>
    </row>
    <row r="1129" spans="1:15" x14ac:dyDescent="0.25">
      <c r="A1129" t="s">
        <v>41</v>
      </c>
      <c r="B1129" t="s">
        <v>4428</v>
      </c>
      <c r="C1129" s="1">
        <v>80583255000163</v>
      </c>
      <c r="D1129" t="s">
        <v>4429</v>
      </c>
      <c r="E1129" t="s">
        <v>4400</v>
      </c>
      <c r="F1129" t="s">
        <v>1</v>
      </c>
      <c r="G1129">
        <v>83015148</v>
      </c>
      <c r="H1129" t="s">
        <v>4430</v>
      </c>
      <c r="I1129" t="s">
        <v>4431</v>
      </c>
      <c r="J1129" t="s">
        <v>46</v>
      </c>
      <c r="K1129">
        <v>6</v>
      </c>
      <c r="L1129">
        <v>22</v>
      </c>
      <c r="M1129">
        <v>2026</v>
      </c>
      <c r="N1129" t="s">
        <v>47</v>
      </c>
      <c r="O1129" s="5">
        <f>DATE(Tabela1[[#This Row],[vigencia ano]],Tabela1[[#This Row],[vigencia mês]],Tabela1[[#This Row],[vigencia dia]])</f>
        <v>46666</v>
      </c>
    </row>
    <row r="1130" spans="1:15" x14ac:dyDescent="0.25">
      <c r="A1130" t="s">
        <v>41</v>
      </c>
      <c r="B1130" t="s">
        <v>4432</v>
      </c>
      <c r="C1130" s="1">
        <v>11227828000101</v>
      </c>
      <c r="D1130" t="s">
        <v>4433</v>
      </c>
      <c r="E1130" t="s">
        <v>4400</v>
      </c>
      <c r="F1130" t="s">
        <v>1</v>
      </c>
      <c r="G1130">
        <v>83085310</v>
      </c>
      <c r="H1130" t="s">
        <v>4434</v>
      </c>
      <c r="I1130" t="s">
        <v>4435</v>
      </c>
      <c r="J1130" t="s">
        <v>46</v>
      </c>
      <c r="K1130">
        <v>7</v>
      </c>
      <c r="L1130">
        <v>9</v>
      </c>
      <c r="M1130">
        <v>2031</v>
      </c>
      <c r="N1130" t="s">
        <v>47</v>
      </c>
      <c r="O1130" s="5">
        <f>DATE(Tabela1[[#This Row],[vigencia ano]],Tabela1[[#This Row],[vigencia mês]],Tabela1[[#This Row],[vigencia dia]])</f>
        <v>48098</v>
      </c>
    </row>
    <row r="1131" spans="1:15" x14ac:dyDescent="0.25">
      <c r="A1131" t="s">
        <v>41</v>
      </c>
      <c r="B1131" t="s">
        <v>4436</v>
      </c>
      <c r="C1131" s="1">
        <v>17932436000111</v>
      </c>
      <c r="D1131" t="s">
        <v>4437</v>
      </c>
      <c r="E1131" t="s">
        <v>4400</v>
      </c>
      <c r="F1131" t="s">
        <v>1</v>
      </c>
      <c r="G1131">
        <v>83085500</v>
      </c>
      <c r="H1131" t="s">
        <v>4438</v>
      </c>
      <c r="I1131" t="s">
        <v>4439</v>
      </c>
      <c r="J1131" t="s">
        <v>56</v>
      </c>
      <c r="K1131">
        <v>12</v>
      </c>
      <c r="L1131">
        <v>11</v>
      </c>
      <c r="M1131">
        <v>2029</v>
      </c>
      <c r="N1131" t="s">
        <v>47</v>
      </c>
      <c r="O1131" s="5">
        <f>DATE(Tabela1[[#This Row],[vigencia ano]],Tabela1[[#This Row],[vigencia mês]],Tabela1[[#This Row],[vigencia dia]])</f>
        <v>47434</v>
      </c>
    </row>
    <row r="1132" spans="1:15" x14ac:dyDescent="0.25">
      <c r="A1132" t="s">
        <v>41</v>
      </c>
      <c r="B1132" t="s">
        <v>4440</v>
      </c>
      <c r="C1132" s="1">
        <v>27351349000124</v>
      </c>
      <c r="D1132" t="s">
        <v>4441</v>
      </c>
      <c r="E1132" t="s">
        <v>4400</v>
      </c>
      <c r="F1132" t="s">
        <v>1</v>
      </c>
      <c r="G1132">
        <v>88005450</v>
      </c>
      <c r="H1132" t="s">
        <v>4442</v>
      </c>
      <c r="I1132" t="s">
        <v>4443</v>
      </c>
      <c r="J1132" t="s">
        <v>56</v>
      </c>
      <c r="K1132">
        <v>11</v>
      </c>
      <c r="L1132">
        <v>22</v>
      </c>
      <c r="M1132">
        <v>2029</v>
      </c>
      <c r="N1132" t="s">
        <v>47</v>
      </c>
      <c r="O1132" s="5">
        <f>DATE(Tabela1[[#This Row],[vigencia ano]],Tabela1[[#This Row],[vigencia mês]],Tabela1[[#This Row],[vigencia dia]])</f>
        <v>47767</v>
      </c>
    </row>
    <row r="1133" spans="1:15" x14ac:dyDescent="0.25">
      <c r="A1133" t="s">
        <v>41</v>
      </c>
      <c r="B1133" t="s">
        <v>4444</v>
      </c>
      <c r="C1133" s="1">
        <v>23787980000110</v>
      </c>
      <c r="D1133" t="s">
        <v>4445</v>
      </c>
      <c r="E1133" t="s">
        <v>4400</v>
      </c>
      <c r="F1133" t="s">
        <v>1</v>
      </c>
      <c r="G1133">
        <v>83010470</v>
      </c>
      <c r="H1133" t="s">
        <v>4446</v>
      </c>
      <c r="I1133" t="s">
        <v>4447</v>
      </c>
      <c r="J1133" t="s">
        <v>56</v>
      </c>
      <c r="K1133">
        <v>11</v>
      </c>
      <c r="L1133">
        <v>22</v>
      </c>
      <c r="M1133">
        <v>2029</v>
      </c>
      <c r="N1133" t="s">
        <v>47</v>
      </c>
      <c r="O1133" s="5">
        <f>DATE(Tabela1[[#This Row],[vigencia ano]],Tabela1[[#This Row],[vigencia mês]],Tabela1[[#This Row],[vigencia dia]])</f>
        <v>47767</v>
      </c>
    </row>
    <row r="1134" spans="1:15" x14ac:dyDescent="0.25">
      <c r="A1134" t="s">
        <v>41</v>
      </c>
      <c r="B1134" t="s">
        <v>4448</v>
      </c>
      <c r="C1134" s="1">
        <v>75703256000164</v>
      </c>
      <c r="D1134" t="s">
        <v>4449</v>
      </c>
      <c r="E1134" t="s">
        <v>4450</v>
      </c>
      <c r="F1134" t="s">
        <v>1</v>
      </c>
      <c r="G1134">
        <v>84269090</v>
      </c>
      <c r="H1134" t="s">
        <v>4314</v>
      </c>
      <c r="I1134" t="s">
        <v>4451</v>
      </c>
      <c r="J1134" t="s">
        <v>56</v>
      </c>
      <c r="K1134">
        <v>12</v>
      </c>
      <c r="L1134">
        <v>22</v>
      </c>
      <c r="M1134">
        <v>2032</v>
      </c>
      <c r="N1134" t="s">
        <v>47</v>
      </c>
      <c r="O1134" s="5">
        <f>DATE(Tabela1[[#This Row],[vigencia ano]],Tabela1[[#This Row],[vigencia mês]],Tabela1[[#This Row],[vigencia dia]])</f>
        <v>48864</v>
      </c>
    </row>
    <row r="1135" spans="1:15" x14ac:dyDescent="0.25">
      <c r="A1135" t="s">
        <v>41</v>
      </c>
      <c r="B1135" t="s">
        <v>4452</v>
      </c>
      <c r="C1135" s="1">
        <v>31442779000129</v>
      </c>
      <c r="D1135" t="s">
        <v>4453</v>
      </c>
      <c r="E1135" t="s">
        <v>4454</v>
      </c>
      <c r="F1135" t="s">
        <v>1</v>
      </c>
      <c r="G1135">
        <v>83190000</v>
      </c>
      <c r="H1135" t="s">
        <v>4455</v>
      </c>
      <c r="I1135" t="s">
        <v>4456</v>
      </c>
      <c r="J1135" t="s">
        <v>56</v>
      </c>
      <c r="K1135">
        <v>5</v>
      </c>
      <c r="L1135">
        <v>5</v>
      </c>
      <c r="M1135">
        <v>2032</v>
      </c>
      <c r="N1135" t="s">
        <v>47</v>
      </c>
      <c r="O1135" s="5">
        <f>DATE(Tabela1[[#This Row],[vigencia ano]],Tabela1[[#This Row],[vigencia mês]],Tabela1[[#This Row],[vigencia dia]])</f>
        <v>48339</v>
      </c>
    </row>
    <row r="1136" spans="1:15" x14ac:dyDescent="0.25">
      <c r="A1136" t="s">
        <v>41</v>
      </c>
      <c r="B1136" t="s">
        <v>4457</v>
      </c>
      <c r="C1136" s="1">
        <v>21212202000177</v>
      </c>
      <c r="D1136" t="s">
        <v>4458</v>
      </c>
      <c r="E1136" t="s">
        <v>4459</v>
      </c>
      <c r="F1136" t="s">
        <v>10</v>
      </c>
      <c r="G1136">
        <v>88330484</v>
      </c>
      <c r="H1136" t="s">
        <v>4460</v>
      </c>
      <c r="I1136" t="s">
        <v>4461</v>
      </c>
      <c r="J1136" t="s">
        <v>56</v>
      </c>
      <c r="K1136">
        <v>12</v>
      </c>
      <c r="L1136">
        <v>23</v>
      </c>
      <c r="M1136">
        <v>2024</v>
      </c>
      <c r="N1136" t="s">
        <v>47</v>
      </c>
      <c r="O1136" s="5">
        <f>DATE(Tabela1[[#This Row],[vigencia ano]],Tabela1[[#This Row],[vigencia mês]],Tabela1[[#This Row],[vigencia dia]])</f>
        <v>45973</v>
      </c>
    </row>
    <row r="1137" spans="1:15" x14ac:dyDescent="0.25">
      <c r="A1137" t="s">
        <v>41</v>
      </c>
      <c r="B1137" t="s">
        <v>4462</v>
      </c>
      <c r="C1137" s="1">
        <v>7658436000111</v>
      </c>
      <c r="D1137" t="s">
        <v>4463</v>
      </c>
      <c r="E1137" t="s">
        <v>4459</v>
      </c>
      <c r="F1137" t="s">
        <v>10</v>
      </c>
      <c r="G1137">
        <v>88330524</v>
      </c>
      <c r="H1137" t="s">
        <v>4464</v>
      </c>
      <c r="I1137" t="s">
        <v>4465</v>
      </c>
      <c r="J1137" t="s">
        <v>56</v>
      </c>
      <c r="K1137">
        <v>10</v>
      </c>
      <c r="L1137">
        <v>4</v>
      </c>
      <c r="M1137">
        <v>2017</v>
      </c>
      <c r="N1137" t="s">
        <v>47</v>
      </c>
      <c r="O1137" s="5">
        <f>DATE(Tabela1[[#This Row],[vigencia ano]],Tabela1[[#This Row],[vigencia mês]],Tabela1[[#This Row],[vigencia dia]])</f>
        <v>42835</v>
      </c>
    </row>
    <row r="1138" spans="1:15" x14ac:dyDescent="0.25">
      <c r="A1138" t="s">
        <v>41</v>
      </c>
      <c r="B1138" t="s">
        <v>4466</v>
      </c>
      <c r="C1138" s="1">
        <v>25196194000173</v>
      </c>
      <c r="D1138" t="s">
        <v>4467</v>
      </c>
      <c r="E1138" t="s">
        <v>4468</v>
      </c>
      <c r="F1138" t="s">
        <v>10</v>
      </c>
      <c r="G1138">
        <v>88390000</v>
      </c>
      <c r="H1138" t="s">
        <v>4469</v>
      </c>
      <c r="I1138" t="s">
        <v>4470</v>
      </c>
      <c r="J1138" t="s">
        <v>56</v>
      </c>
      <c r="K1138">
        <v>9</v>
      </c>
      <c r="L1138">
        <v>26</v>
      </c>
      <c r="M1138">
        <v>2033</v>
      </c>
      <c r="N1138" t="s">
        <v>47</v>
      </c>
      <c r="O1138" s="5">
        <f>DATE(Tabela1[[#This Row],[vigencia ano]],Tabela1[[#This Row],[vigencia mês]],Tabela1[[#This Row],[vigencia dia]])</f>
        <v>49349</v>
      </c>
    </row>
    <row r="1139" spans="1:15" x14ac:dyDescent="0.25">
      <c r="A1139" t="s">
        <v>41</v>
      </c>
      <c r="B1139" t="s">
        <v>4471</v>
      </c>
      <c r="C1139" s="1">
        <v>3523549000159</v>
      </c>
      <c r="D1139" t="s">
        <v>4472</v>
      </c>
      <c r="E1139" t="s">
        <v>4473</v>
      </c>
      <c r="F1139" t="s">
        <v>10</v>
      </c>
      <c r="G1139">
        <v>88353202</v>
      </c>
      <c r="H1139" t="s">
        <v>4474</v>
      </c>
      <c r="I1139" t="s">
        <v>4475</v>
      </c>
      <c r="J1139" t="s">
        <v>56</v>
      </c>
      <c r="K1139">
        <v>12</v>
      </c>
      <c r="L1139">
        <v>8</v>
      </c>
      <c r="M1139">
        <v>2033</v>
      </c>
      <c r="N1139" t="s">
        <v>47</v>
      </c>
      <c r="O1139" s="5">
        <f>DATE(Tabela1[[#This Row],[vigencia ano]],Tabela1[[#This Row],[vigencia mês]],Tabela1[[#This Row],[vigencia dia]])</f>
        <v>48803</v>
      </c>
    </row>
    <row r="1140" spans="1:15" x14ac:dyDescent="0.25">
      <c r="A1140" t="s">
        <v>41</v>
      </c>
      <c r="B1140" t="s">
        <v>4476</v>
      </c>
      <c r="C1140" s="1">
        <v>85155372000140</v>
      </c>
      <c r="D1140" t="s">
        <v>4477</v>
      </c>
      <c r="E1140" t="s">
        <v>4478</v>
      </c>
      <c r="F1140" t="s">
        <v>10</v>
      </c>
      <c r="G1140">
        <v>89294000</v>
      </c>
      <c r="H1140" t="s">
        <v>4479</v>
      </c>
      <c r="I1140" t="s">
        <v>4480</v>
      </c>
      <c r="J1140" t="s">
        <v>46</v>
      </c>
      <c r="K1140">
        <v>4</v>
      </c>
      <c r="L1140">
        <v>26</v>
      </c>
      <c r="M1140">
        <v>2032</v>
      </c>
      <c r="N1140" t="s">
        <v>47</v>
      </c>
      <c r="O1140" s="5">
        <f>DATE(Tabela1[[#This Row],[vigencia ano]],Tabela1[[#This Row],[vigencia mês]],Tabela1[[#This Row],[vigencia dia]])</f>
        <v>48979</v>
      </c>
    </row>
    <row r="1141" spans="1:15" x14ac:dyDescent="0.25">
      <c r="A1141" t="s">
        <v>41</v>
      </c>
      <c r="B1141" t="s">
        <v>4481</v>
      </c>
      <c r="C1141" s="1">
        <v>74006115000120</v>
      </c>
      <c r="D1141" t="s">
        <v>4482</v>
      </c>
      <c r="E1141" t="s">
        <v>4483</v>
      </c>
      <c r="F1141" t="s">
        <v>10</v>
      </c>
      <c r="G1141">
        <v>84745000</v>
      </c>
      <c r="H1141" t="s">
        <v>4484</v>
      </c>
      <c r="I1141" t="s">
        <v>4485</v>
      </c>
      <c r="J1141" t="s">
        <v>56</v>
      </c>
      <c r="K1141">
        <v>9</v>
      </c>
      <c r="L1141">
        <v>23</v>
      </c>
      <c r="M1141">
        <v>2029</v>
      </c>
      <c r="N1141" t="s">
        <v>47</v>
      </c>
      <c r="O1141" s="5">
        <f>DATE(Tabela1[[#This Row],[vigencia ano]],Tabela1[[#This Row],[vigencia mês]],Tabela1[[#This Row],[vigencia dia]])</f>
        <v>47796</v>
      </c>
    </row>
    <row r="1142" spans="1:15" x14ac:dyDescent="0.25">
      <c r="A1142" t="s">
        <v>41</v>
      </c>
      <c r="B1142" t="s">
        <v>4486</v>
      </c>
      <c r="C1142" s="1">
        <v>81800849000141</v>
      </c>
      <c r="D1142" t="s">
        <v>4487</v>
      </c>
      <c r="E1142" t="s">
        <v>4488</v>
      </c>
      <c r="F1142" t="s">
        <v>10</v>
      </c>
      <c r="G1142">
        <v>89700904</v>
      </c>
      <c r="H1142" t="s">
        <v>4489</v>
      </c>
      <c r="I1142" t="s">
        <v>4490</v>
      </c>
      <c r="J1142" t="s">
        <v>46</v>
      </c>
      <c r="K1142">
        <v>5</v>
      </c>
      <c r="L1142">
        <v>24</v>
      </c>
      <c r="M1142">
        <v>2032</v>
      </c>
      <c r="N1142" t="s">
        <v>47</v>
      </c>
      <c r="O1142" s="5">
        <f>DATE(Tabela1[[#This Row],[vigencia ano]],Tabela1[[#This Row],[vigencia mês]],Tabela1[[#This Row],[vigencia dia]])</f>
        <v>48918</v>
      </c>
    </row>
    <row r="1143" spans="1:15" x14ac:dyDescent="0.25">
      <c r="A1143" t="s">
        <v>41</v>
      </c>
      <c r="B1143" t="s">
        <v>4491</v>
      </c>
      <c r="C1143" s="1">
        <v>3362521000187</v>
      </c>
      <c r="D1143" t="s">
        <v>4492</v>
      </c>
      <c r="E1143" t="s">
        <v>4493</v>
      </c>
      <c r="F1143" t="s">
        <v>10</v>
      </c>
      <c r="G1143">
        <v>89270000</v>
      </c>
      <c r="H1143" t="s">
        <v>4494</v>
      </c>
      <c r="I1143" t="s">
        <v>4495</v>
      </c>
      <c r="J1143" t="s">
        <v>56</v>
      </c>
      <c r="K1143">
        <v>3</v>
      </c>
      <c r="L1143">
        <v>14</v>
      </c>
      <c r="M1143">
        <v>2033</v>
      </c>
      <c r="N1143" t="s">
        <v>47</v>
      </c>
      <c r="O1143" s="5">
        <f>DATE(Tabela1[[#This Row],[vigencia ano]],Tabela1[[#This Row],[vigencia mês]],Tabela1[[#This Row],[vigencia dia]])</f>
        <v>48978</v>
      </c>
    </row>
    <row r="1144" spans="1:15" x14ac:dyDescent="0.25">
      <c r="A1144" t="s">
        <v>41</v>
      </c>
      <c r="B1144" t="s">
        <v>4496</v>
      </c>
      <c r="C1144" s="1">
        <v>31128830000122</v>
      </c>
      <c r="D1144" t="s">
        <v>4497</v>
      </c>
      <c r="E1144" t="s">
        <v>4498</v>
      </c>
      <c r="F1144" t="s">
        <v>10</v>
      </c>
      <c r="G1144">
        <v>88820000</v>
      </c>
      <c r="H1144" t="s">
        <v>4499</v>
      </c>
      <c r="I1144" t="s">
        <v>4500</v>
      </c>
      <c r="J1144" t="s">
        <v>56</v>
      </c>
      <c r="K1144">
        <v>2</v>
      </c>
      <c r="L1144">
        <v>21</v>
      </c>
      <c r="M1144">
        <v>2034</v>
      </c>
      <c r="N1144" t="s">
        <v>47</v>
      </c>
      <c r="O1144" s="5">
        <f>DATE(Tabela1[[#This Row],[vigencia ano]],Tabela1[[#This Row],[vigencia mês]],Tabela1[[#This Row],[vigencia dia]])</f>
        <v>49554</v>
      </c>
    </row>
    <row r="1145" spans="1:15" x14ac:dyDescent="0.25">
      <c r="A1145" t="s">
        <v>41</v>
      </c>
      <c r="B1145" t="s">
        <v>4501</v>
      </c>
      <c r="C1145" s="1">
        <v>19675338000171</v>
      </c>
      <c r="D1145" t="s">
        <v>4502</v>
      </c>
      <c r="E1145" t="s">
        <v>4498</v>
      </c>
      <c r="F1145" t="s">
        <v>10</v>
      </c>
      <c r="G1145">
        <v>88820000</v>
      </c>
      <c r="H1145" t="s">
        <v>4503</v>
      </c>
      <c r="I1145" t="s">
        <v>4504</v>
      </c>
      <c r="J1145" t="s">
        <v>56</v>
      </c>
      <c r="K1145">
        <v>12</v>
      </c>
      <c r="L1145">
        <v>23</v>
      </c>
      <c r="M1145">
        <v>2024</v>
      </c>
      <c r="N1145" t="s">
        <v>47</v>
      </c>
      <c r="O1145" s="5">
        <f>DATE(Tabela1[[#This Row],[vigencia ano]],Tabela1[[#This Row],[vigencia mês]],Tabela1[[#This Row],[vigencia dia]])</f>
        <v>45973</v>
      </c>
    </row>
    <row r="1146" spans="1:15" x14ac:dyDescent="0.25">
      <c r="A1146" t="s">
        <v>41</v>
      </c>
      <c r="B1146" t="s">
        <v>4505</v>
      </c>
      <c r="C1146" s="1">
        <v>80475007000107</v>
      </c>
      <c r="D1146" t="s">
        <v>4506</v>
      </c>
      <c r="E1146" t="s">
        <v>4507</v>
      </c>
      <c r="F1146" t="s">
        <v>10</v>
      </c>
      <c r="G1146">
        <v>88780000</v>
      </c>
      <c r="H1146" t="s">
        <v>4508</v>
      </c>
      <c r="I1146" t="s">
        <v>4509</v>
      </c>
      <c r="J1146" t="s">
        <v>46</v>
      </c>
      <c r="K1146">
        <v>12</v>
      </c>
      <c r="L1146">
        <v>10</v>
      </c>
      <c r="M1146">
        <v>2028</v>
      </c>
      <c r="N1146" t="s">
        <v>47</v>
      </c>
      <c r="O1146" s="5">
        <f>DATE(Tabela1[[#This Row],[vigencia ano]],Tabela1[[#This Row],[vigencia mês]],Tabela1[[#This Row],[vigencia dia]])</f>
        <v>47038</v>
      </c>
    </row>
    <row r="1147" spans="1:15" x14ac:dyDescent="0.25">
      <c r="A1147" t="s">
        <v>41</v>
      </c>
      <c r="B1147" t="s">
        <v>4510</v>
      </c>
      <c r="C1147" s="1">
        <v>50188007000157</v>
      </c>
      <c r="D1147" t="s">
        <v>4511</v>
      </c>
      <c r="E1147" t="s">
        <v>4512</v>
      </c>
      <c r="F1147" t="s">
        <v>10</v>
      </c>
      <c r="G1147">
        <v>88301668</v>
      </c>
      <c r="H1147" t="s">
        <v>4513</v>
      </c>
      <c r="I1147" t="s">
        <v>4514</v>
      </c>
      <c r="J1147" t="s">
        <v>56</v>
      </c>
      <c r="K1147">
        <v>5</v>
      </c>
      <c r="L1147">
        <v>30</v>
      </c>
      <c r="M1147">
        <v>2033</v>
      </c>
      <c r="N1147" t="s">
        <v>47</v>
      </c>
      <c r="O1147" s="5">
        <f>DATE(Tabela1[[#This Row],[vigencia ano]],Tabela1[[#This Row],[vigencia mês]],Tabela1[[#This Row],[vigencia dia]])</f>
        <v>49465</v>
      </c>
    </row>
    <row r="1148" spans="1:15" x14ac:dyDescent="0.25">
      <c r="A1148" t="s">
        <v>41</v>
      </c>
      <c r="B1148" t="s">
        <v>4515</v>
      </c>
      <c r="C1148" s="1">
        <v>10635834000127</v>
      </c>
      <c r="D1148" t="s">
        <v>4516</v>
      </c>
      <c r="E1148" t="s">
        <v>4512</v>
      </c>
      <c r="F1148" t="s">
        <v>10</v>
      </c>
      <c r="G1148">
        <v>88311500</v>
      </c>
      <c r="H1148" t="s">
        <v>4517</v>
      </c>
      <c r="I1148" t="s">
        <v>4518</v>
      </c>
      <c r="J1148" t="s">
        <v>56</v>
      </c>
      <c r="K1148">
        <v>11</v>
      </c>
      <c r="L1148">
        <v>27</v>
      </c>
      <c r="M1148">
        <v>2027</v>
      </c>
      <c r="N1148" t="s">
        <v>47</v>
      </c>
      <c r="O1148" s="5">
        <f>DATE(Tabela1[[#This Row],[vigencia ano]],Tabela1[[#This Row],[vigencia mês]],Tabela1[[#This Row],[vigencia dia]])</f>
        <v>47188</v>
      </c>
    </row>
    <row r="1149" spans="1:15" x14ac:dyDescent="0.25">
      <c r="A1149" t="s">
        <v>41</v>
      </c>
      <c r="B1149" t="s">
        <v>4519</v>
      </c>
      <c r="C1149" s="1">
        <v>28327684000150</v>
      </c>
      <c r="D1149" t="s">
        <v>4520</v>
      </c>
      <c r="E1149" t="s">
        <v>4512</v>
      </c>
      <c r="F1149" t="s">
        <v>10</v>
      </c>
      <c r="G1149">
        <v>88302200</v>
      </c>
      <c r="H1149" t="s">
        <v>4521</v>
      </c>
      <c r="I1149" t="s">
        <v>4522</v>
      </c>
      <c r="J1149" t="s">
        <v>56</v>
      </c>
      <c r="K1149">
        <v>1</v>
      </c>
      <c r="L1149">
        <v>15</v>
      </c>
      <c r="M1149">
        <v>2029</v>
      </c>
      <c r="N1149" t="s">
        <v>47</v>
      </c>
      <c r="O1149" s="5">
        <f>DATE(Tabela1[[#This Row],[vigencia ano]],Tabela1[[#This Row],[vigencia mês]],Tabela1[[#This Row],[vigencia dia]])</f>
        <v>47543</v>
      </c>
    </row>
    <row r="1150" spans="1:15" x14ac:dyDescent="0.25">
      <c r="A1150" t="s">
        <v>41</v>
      </c>
      <c r="B1150" t="s">
        <v>4523</v>
      </c>
      <c r="C1150" s="1">
        <v>14044345000151</v>
      </c>
      <c r="D1150" t="s">
        <v>4524</v>
      </c>
      <c r="E1150" t="s">
        <v>4512</v>
      </c>
      <c r="F1150" t="s">
        <v>10</v>
      </c>
      <c r="G1150">
        <v>88301425</v>
      </c>
      <c r="H1150" t="s">
        <v>4525</v>
      </c>
      <c r="I1150" t="s">
        <v>4526</v>
      </c>
      <c r="J1150" t="s">
        <v>56</v>
      </c>
      <c r="K1150">
        <v>7</v>
      </c>
      <c r="L1150">
        <v>10</v>
      </c>
      <c r="M1150">
        <v>2030</v>
      </c>
      <c r="N1150" t="s">
        <v>47</v>
      </c>
      <c r="O1150" s="5">
        <f>DATE(Tabela1[[#This Row],[vigencia ano]],Tabela1[[#This Row],[vigencia mês]],Tabela1[[#This Row],[vigencia dia]])</f>
        <v>47763</v>
      </c>
    </row>
    <row r="1151" spans="1:15" x14ac:dyDescent="0.25">
      <c r="A1151" t="s">
        <v>41</v>
      </c>
      <c r="B1151" t="s">
        <v>4527</v>
      </c>
      <c r="C1151" s="1">
        <v>1832166000137</v>
      </c>
      <c r="D1151" t="s">
        <v>4528</v>
      </c>
      <c r="E1151" t="s">
        <v>4512</v>
      </c>
      <c r="F1151" t="s">
        <v>10</v>
      </c>
      <c r="G1151">
        <v>88311460</v>
      </c>
      <c r="H1151" t="s">
        <v>4529</v>
      </c>
      <c r="I1151" t="s">
        <v>4530</v>
      </c>
      <c r="J1151" t="s">
        <v>56</v>
      </c>
      <c r="K1151">
        <v>7</v>
      </c>
      <c r="L1151">
        <v>4</v>
      </c>
      <c r="M1151">
        <v>2026</v>
      </c>
      <c r="N1151" t="s">
        <v>47</v>
      </c>
      <c r="O1151" s="5">
        <f>DATE(Tabela1[[#This Row],[vigencia ano]],Tabela1[[#This Row],[vigencia mês]],Tabela1[[#This Row],[vigencia dia]])</f>
        <v>46119</v>
      </c>
    </row>
    <row r="1152" spans="1:15" x14ac:dyDescent="0.25">
      <c r="A1152" t="s">
        <v>41</v>
      </c>
      <c r="B1152" t="s">
        <v>4531</v>
      </c>
      <c r="C1152" s="1">
        <v>13753483000147</v>
      </c>
      <c r="D1152" t="s">
        <v>4532</v>
      </c>
      <c r="E1152" t="s">
        <v>4512</v>
      </c>
      <c r="F1152" t="s">
        <v>10</v>
      </c>
      <c r="G1152">
        <v>88301030</v>
      </c>
      <c r="H1152" t="s">
        <v>4533</v>
      </c>
      <c r="I1152" t="s">
        <v>4534</v>
      </c>
      <c r="J1152" t="s">
        <v>56</v>
      </c>
      <c r="K1152">
        <v>6</v>
      </c>
      <c r="L1152">
        <v>19</v>
      </c>
      <c r="M1152">
        <v>2029</v>
      </c>
      <c r="N1152" t="s">
        <v>47</v>
      </c>
      <c r="O1152" s="5">
        <f>DATE(Tabela1[[#This Row],[vigencia ano]],Tabela1[[#This Row],[vigencia mês]],Tabela1[[#This Row],[vigencia dia]])</f>
        <v>47670</v>
      </c>
    </row>
    <row r="1153" spans="1:15" x14ac:dyDescent="0.25">
      <c r="A1153" t="s">
        <v>41</v>
      </c>
      <c r="B1153" t="s">
        <v>4535</v>
      </c>
      <c r="C1153" s="1">
        <v>23104878000172</v>
      </c>
      <c r="D1153" t="s">
        <v>4536</v>
      </c>
      <c r="E1153" t="s">
        <v>4512</v>
      </c>
      <c r="F1153" t="s">
        <v>10</v>
      </c>
      <c r="G1153">
        <v>88301451</v>
      </c>
      <c r="H1153" t="s">
        <v>4537</v>
      </c>
      <c r="I1153" t="s">
        <v>4538</v>
      </c>
      <c r="J1153" t="s">
        <v>56</v>
      </c>
      <c r="K1153">
        <v>1</v>
      </c>
      <c r="L1153">
        <v>16</v>
      </c>
      <c r="M1153">
        <v>2036</v>
      </c>
      <c r="N1153" t="s">
        <v>4539</v>
      </c>
      <c r="O1153" s="5">
        <f>DATE(Tabela1[[#This Row],[vigencia ano]],Tabela1[[#This Row],[vigencia mês]],Tabela1[[#This Row],[vigencia dia]])</f>
        <v>50131</v>
      </c>
    </row>
    <row r="1154" spans="1:15" x14ac:dyDescent="0.25">
      <c r="A1154" t="s">
        <v>41</v>
      </c>
      <c r="B1154" t="s">
        <v>4535</v>
      </c>
      <c r="C1154" s="1">
        <v>23104878000172</v>
      </c>
      <c r="D1154" t="s">
        <v>4536</v>
      </c>
      <c r="E1154" t="s">
        <v>4512</v>
      </c>
      <c r="F1154" t="s">
        <v>10</v>
      </c>
      <c r="G1154">
        <v>88301451</v>
      </c>
      <c r="H1154" t="s">
        <v>4540</v>
      </c>
      <c r="I1154" t="s">
        <v>4538</v>
      </c>
      <c r="J1154" t="s">
        <v>56</v>
      </c>
      <c r="K1154">
        <v>1</v>
      </c>
      <c r="L1154">
        <v>16</v>
      </c>
      <c r="M1154">
        <v>2036</v>
      </c>
      <c r="N1154" t="s">
        <v>4539</v>
      </c>
      <c r="O1154" s="5">
        <f>DATE(Tabela1[[#This Row],[vigencia ano]],Tabela1[[#This Row],[vigencia mês]],Tabela1[[#This Row],[vigencia dia]])</f>
        <v>50131</v>
      </c>
    </row>
    <row r="1155" spans="1:15" x14ac:dyDescent="0.25">
      <c r="A1155" t="s">
        <v>41</v>
      </c>
      <c r="B1155" t="s">
        <v>4541</v>
      </c>
      <c r="C1155" s="1">
        <v>18164235000184</v>
      </c>
      <c r="D1155" t="s">
        <v>4542</v>
      </c>
      <c r="E1155" t="s">
        <v>4512</v>
      </c>
      <c r="F1155" t="s">
        <v>10</v>
      </c>
      <c r="G1155">
        <v>88303005</v>
      </c>
      <c r="H1155" t="s">
        <v>4543</v>
      </c>
      <c r="I1155" t="s">
        <v>4544</v>
      </c>
      <c r="J1155" t="s">
        <v>56</v>
      </c>
      <c r="K1155">
        <v>7</v>
      </c>
      <c r="L1155">
        <v>17</v>
      </c>
      <c r="M1155">
        <v>2023</v>
      </c>
      <c r="N1155" t="s">
        <v>47</v>
      </c>
      <c r="O1155" s="5">
        <f>DATE(Tabela1[[#This Row],[vigencia ano]],Tabela1[[#This Row],[vigencia mês]],Tabela1[[#This Row],[vigencia dia]])</f>
        <v>45419</v>
      </c>
    </row>
    <row r="1156" spans="1:15" x14ac:dyDescent="0.25">
      <c r="A1156" t="s">
        <v>41</v>
      </c>
      <c r="B1156" t="s">
        <v>4545</v>
      </c>
      <c r="C1156" s="1">
        <v>11101147000194</v>
      </c>
      <c r="D1156" t="s">
        <v>4546</v>
      </c>
      <c r="E1156" t="s">
        <v>4512</v>
      </c>
      <c r="F1156" t="s">
        <v>10</v>
      </c>
      <c r="G1156">
        <v>88316701</v>
      </c>
      <c r="H1156" t="s">
        <v>4547</v>
      </c>
      <c r="I1156" t="s">
        <v>4548</v>
      </c>
      <c r="J1156" t="s">
        <v>56</v>
      </c>
      <c r="K1156">
        <v>3</v>
      </c>
      <c r="L1156">
        <v>28</v>
      </c>
      <c r="M1156">
        <v>2021</v>
      </c>
      <c r="N1156" t="s">
        <v>47</v>
      </c>
      <c r="O1156" s="5">
        <f>DATE(Tabela1[[#This Row],[vigencia ano]],Tabela1[[#This Row],[vigencia mês]],Tabela1[[#This Row],[vigencia dia]])</f>
        <v>45019</v>
      </c>
    </row>
    <row r="1157" spans="1:15" x14ac:dyDescent="0.25">
      <c r="A1157" t="s">
        <v>41</v>
      </c>
      <c r="B1157" t="s">
        <v>4549</v>
      </c>
      <c r="C1157" s="1">
        <v>78614229000103</v>
      </c>
      <c r="D1157" t="s">
        <v>4550</v>
      </c>
      <c r="E1157" t="s">
        <v>4512</v>
      </c>
      <c r="F1157" t="s">
        <v>10</v>
      </c>
      <c r="G1157">
        <v>88316003</v>
      </c>
      <c r="H1157" t="s">
        <v>4551</v>
      </c>
      <c r="I1157" t="s">
        <v>4552</v>
      </c>
      <c r="J1157" t="s">
        <v>46</v>
      </c>
      <c r="K1157">
        <v>9</v>
      </c>
      <c r="L1157">
        <v>8</v>
      </c>
      <c r="M1157">
        <v>2025</v>
      </c>
      <c r="N1157" t="s">
        <v>47</v>
      </c>
      <c r="O1157" s="5">
        <f>DATE(Tabela1[[#This Row],[vigencia ano]],Tabela1[[#This Row],[vigencia mês]],Tabela1[[#This Row],[vigencia dia]])</f>
        <v>45878</v>
      </c>
    </row>
    <row r="1158" spans="1:15" x14ac:dyDescent="0.25">
      <c r="A1158" t="s">
        <v>41</v>
      </c>
      <c r="B1158" t="s">
        <v>4553</v>
      </c>
      <c r="C1158" s="1">
        <v>21372384000143</v>
      </c>
      <c r="D1158" t="s">
        <v>4554</v>
      </c>
      <c r="E1158" t="s">
        <v>4512</v>
      </c>
      <c r="F1158" t="s">
        <v>10</v>
      </c>
      <c r="G1158">
        <v>88316001</v>
      </c>
      <c r="H1158" t="s">
        <v>4555</v>
      </c>
      <c r="I1158" t="s">
        <v>4556</v>
      </c>
      <c r="J1158" t="s">
        <v>56</v>
      </c>
      <c r="K1158">
        <v>10</v>
      </c>
      <c r="L1158">
        <v>25</v>
      </c>
      <c r="M1158">
        <v>2029</v>
      </c>
      <c r="N1158" t="s">
        <v>47</v>
      </c>
      <c r="O1158" s="5">
        <f>DATE(Tabela1[[#This Row],[vigencia ano]],Tabela1[[#This Row],[vigencia mês]],Tabela1[[#This Row],[vigencia dia]])</f>
        <v>47858</v>
      </c>
    </row>
    <row r="1159" spans="1:15" x14ac:dyDescent="0.25">
      <c r="A1159" t="s">
        <v>41</v>
      </c>
      <c r="B1159" t="s">
        <v>4557</v>
      </c>
      <c r="C1159" s="1">
        <v>19493112000150</v>
      </c>
      <c r="D1159" t="s">
        <v>4558</v>
      </c>
      <c r="E1159" t="s">
        <v>4512</v>
      </c>
      <c r="F1159" t="s">
        <v>10</v>
      </c>
      <c r="G1159">
        <v>88303300</v>
      </c>
      <c r="H1159" t="s">
        <v>4559</v>
      </c>
      <c r="I1159" t="s">
        <v>4560</v>
      </c>
      <c r="J1159" t="s">
        <v>56</v>
      </c>
      <c r="K1159">
        <v>2</v>
      </c>
      <c r="L1159">
        <v>26</v>
      </c>
      <c r="M1159">
        <v>2028</v>
      </c>
      <c r="N1159" t="s">
        <v>47</v>
      </c>
      <c r="O1159" s="5">
        <f>DATE(Tabela1[[#This Row],[vigencia ano]],Tabela1[[#This Row],[vigencia mês]],Tabela1[[#This Row],[vigencia dia]])</f>
        <v>47516</v>
      </c>
    </row>
    <row r="1160" spans="1:15" x14ac:dyDescent="0.25">
      <c r="A1160" t="s">
        <v>41</v>
      </c>
      <c r="B1160" t="s">
        <v>4561</v>
      </c>
      <c r="C1160" s="1">
        <v>29584183000111</v>
      </c>
      <c r="D1160" t="s">
        <v>4562</v>
      </c>
      <c r="E1160" t="s">
        <v>4512</v>
      </c>
      <c r="F1160" t="s">
        <v>10</v>
      </c>
      <c r="G1160">
        <v>88311547</v>
      </c>
      <c r="H1160" t="s">
        <v>4563</v>
      </c>
      <c r="I1160" t="s">
        <v>4564</v>
      </c>
      <c r="J1160" t="s">
        <v>56</v>
      </c>
      <c r="K1160">
        <v>5</v>
      </c>
      <c r="L1160">
        <v>15</v>
      </c>
      <c r="M1160">
        <v>2030</v>
      </c>
      <c r="N1160" t="s">
        <v>47</v>
      </c>
      <c r="O1160" s="5">
        <f>DATE(Tabela1[[#This Row],[vigencia ano]],Tabela1[[#This Row],[vigencia mês]],Tabela1[[#This Row],[vigencia dia]])</f>
        <v>47912</v>
      </c>
    </row>
    <row r="1161" spans="1:15" x14ac:dyDescent="0.25">
      <c r="A1161" t="s">
        <v>41</v>
      </c>
      <c r="B1161" t="s">
        <v>4565</v>
      </c>
      <c r="C1161" s="1">
        <v>13872662000101</v>
      </c>
      <c r="D1161" t="s">
        <v>4566</v>
      </c>
      <c r="E1161" t="s">
        <v>4512</v>
      </c>
      <c r="F1161" t="s">
        <v>10</v>
      </c>
      <c r="G1161">
        <v>88310000</v>
      </c>
      <c r="H1161" t="s">
        <v>4567</v>
      </c>
      <c r="I1161" t="s">
        <v>4568</v>
      </c>
      <c r="J1161" t="s">
        <v>46</v>
      </c>
      <c r="K1161">
        <v>6</v>
      </c>
      <c r="L1161">
        <v>26</v>
      </c>
      <c r="M1161">
        <v>2033</v>
      </c>
      <c r="N1161" t="s">
        <v>47</v>
      </c>
      <c r="O1161" s="5">
        <f>DATE(Tabela1[[#This Row],[vigencia ano]],Tabela1[[#This Row],[vigencia mês]],Tabela1[[#This Row],[vigencia dia]])</f>
        <v>49346</v>
      </c>
    </row>
    <row r="1162" spans="1:15" x14ac:dyDescent="0.25">
      <c r="A1162" t="s">
        <v>41</v>
      </c>
      <c r="B1162" t="s">
        <v>4569</v>
      </c>
      <c r="C1162" s="1">
        <v>12680452000140</v>
      </c>
      <c r="D1162" t="s">
        <v>4570</v>
      </c>
      <c r="E1162" t="s">
        <v>4512</v>
      </c>
      <c r="F1162" t="s">
        <v>10</v>
      </c>
      <c r="G1162">
        <v>88311500</v>
      </c>
      <c r="H1162" t="s">
        <v>4571</v>
      </c>
      <c r="I1162" t="s">
        <v>4572</v>
      </c>
      <c r="J1162" t="s">
        <v>56</v>
      </c>
      <c r="K1162">
        <v>8</v>
      </c>
      <c r="L1162">
        <v>21</v>
      </c>
      <c r="M1162">
        <v>2028</v>
      </c>
      <c r="N1162" t="s">
        <v>47</v>
      </c>
      <c r="O1162" s="5">
        <f>DATE(Tabela1[[#This Row],[vigencia ano]],Tabela1[[#This Row],[vigencia mês]],Tabela1[[#This Row],[vigencia dia]])</f>
        <v>47369</v>
      </c>
    </row>
    <row r="1163" spans="1:15" x14ac:dyDescent="0.25">
      <c r="A1163" t="s">
        <v>41</v>
      </c>
      <c r="B1163" t="s">
        <v>4573</v>
      </c>
      <c r="C1163" s="1">
        <v>43312110000100</v>
      </c>
      <c r="D1163" t="s">
        <v>4574</v>
      </c>
      <c r="E1163" t="s">
        <v>4512</v>
      </c>
      <c r="F1163" t="s">
        <v>10</v>
      </c>
      <c r="G1163">
        <v>88304110</v>
      </c>
      <c r="H1163" t="s">
        <v>4575</v>
      </c>
      <c r="I1163" t="s">
        <v>4576</v>
      </c>
      <c r="J1163" t="s">
        <v>56</v>
      </c>
      <c r="K1163">
        <v>1</v>
      </c>
      <c r="L1163">
        <v>16</v>
      </c>
      <c r="M1163">
        <v>2034</v>
      </c>
      <c r="N1163" t="s">
        <v>47</v>
      </c>
      <c r="O1163" s="5">
        <f>DATE(Tabela1[[#This Row],[vigencia ano]],Tabela1[[#This Row],[vigencia mês]],Tabela1[[#This Row],[vigencia dia]])</f>
        <v>49400</v>
      </c>
    </row>
    <row r="1164" spans="1:15" x14ac:dyDescent="0.25">
      <c r="A1164" t="s">
        <v>41</v>
      </c>
      <c r="B1164" t="s">
        <v>4577</v>
      </c>
      <c r="C1164" s="1">
        <v>9211360000107</v>
      </c>
      <c r="D1164" t="s">
        <v>4578</v>
      </c>
      <c r="E1164" t="s">
        <v>4512</v>
      </c>
      <c r="F1164" t="s">
        <v>10</v>
      </c>
      <c r="G1164">
        <v>88303401</v>
      </c>
      <c r="H1164" t="s">
        <v>4579</v>
      </c>
      <c r="I1164" t="s">
        <v>4580</v>
      </c>
      <c r="J1164" t="s">
        <v>56</v>
      </c>
      <c r="K1164">
        <v>6</v>
      </c>
      <c r="L1164">
        <v>25</v>
      </c>
      <c r="M1164">
        <v>2031</v>
      </c>
      <c r="N1164" t="s">
        <v>47</v>
      </c>
      <c r="O1164" s="5">
        <f>DATE(Tabela1[[#This Row],[vigencia ano]],Tabela1[[#This Row],[vigencia mês]],Tabela1[[#This Row],[vigencia dia]])</f>
        <v>48585</v>
      </c>
    </row>
    <row r="1165" spans="1:15" x14ac:dyDescent="0.25">
      <c r="A1165" t="s">
        <v>41</v>
      </c>
      <c r="B1165" t="s">
        <v>4581</v>
      </c>
      <c r="C1165" s="1">
        <v>18354383000161</v>
      </c>
      <c r="D1165" t="s">
        <v>4582</v>
      </c>
      <c r="E1165" t="s">
        <v>4512</v>
      </c>
      <c r="F1165" t="s">
        <v>10</v>
      </c>
      <c r="G1165">
        <v>88301410</v>
      </c>
      <c r="H1165" t="s">
        <v>4583</v>
      </c>
      <c r="I1165" t="s">
        <v>4584</v>
      </c>
      <c r="J1165" t="s">
        <v>56</v>
      </c>
      <c r="K1165">
        <v>8</v>
      </c>
      <c r="L1165">
        <v>14</v>
      </c>
      <c r="M1165">
        <v>2035</v>
      </c>
      <c r="N1165" t="s">
        <v>4585</v>
      </c>
      <c r="O1165" s="5">
        <f>DATE(Tabela1[[#This Row],[vigencia ano]],Tabela1[[#This Row],[vigencia mês]],Tabela1[[#This Row],[vigencia dia]])</f>
        <v>49713</v>
      </c>
    </row>
    <row r="1166" spans="1:15" x14ac:dyDescent="0.25">
      <c r="A1166" t="s">
        <v>41</v>
      </c>
      <c r="B1166" t="s">
        <v>4581</v>
      </c>
      <c r="C1166" s="1">
        <v>18354383000161</v>
      </c>
      <c r="D1166" t="s">
        <v>4582</v>
      </c>
      <c r="E1166" t="s">
        <v>4512</v>
      </c>
      <c r="F1166" t="s">
        <v>10</v>
      </c>
      <c r="G1166">
        <v>88301410</v>
      </c>
      <c r="H1166" t="s">
        <v>4586</v>
      </c>
      <c r="I1166" t="s">
        <v>4584</v>
      </c>
      <c r="J1166" t="s">
        <v>56</v>
      </c>
      <c r="K1166">
        <v>8</v>
      </c>
      <c r="L1166">
        <v>14</v>
      </c>
      <c r="M1166">
        <v>2035</v>
      </c>
      <c r="N1166" t="s">
        <v>4585</v>
      </c>
      <c r="O1166" s="5">
        <f>DATE(Tabela1[[#This Row],[vigencia ano]],Tabela1[[#This Row],[vigencia mês]],Tabela1[[#This Row],[vigencia dia]])</f>
        <v>49713</v>
      </c>
    </row>
    <row r="1167" spans="1:15" x14ac:dyDescent="0.25">
      <c r="A1167" t="s">
        <v>41</v>
      </c>
      <c r="B1167" t="s">
        <v>2299</v>
      </c>
      <c r="C1167" s="1">
        <v>30080685000194</v>
      </c>
      <c r="D1167" t="s">
        <v>4587</v>
      </c>
      <c r="E1167" t="s">
        <v>4512</v>
      </c>
      <c r="F1167" t="s">
        <v>10</v>
      </c>
      <c r="G1167">
        <v>88301450</v>
      </c>
      <c r="H1167" t="s">
        <v>4588</v>
      </c>
      <c r="I1167" t="s">
        <v>4589</v>
      </c>
      <c r="J1167" t="s">
        <v>56</v>
      </c>
      <c r="K1167">
        <v>1</v>
      </c>
      <c r="L1167">
        <v>12</v>
      </c>
      <c r="M1167">
        <v>2031</v>
      </c>
      <c r="N1167" t="s">
        <v>47</v>
      </c>
      <c r="O1167" s="5">
        <f>DATE(Tabela1[[#This Row],[vigencia ano]],Tabela1[[#This Row],[vigencia mês]],Tabela1[[#This Row],[vigencia dia]])</f>
        <v>48183</v>
      </c>
    </row>
    <row r="1168" spans="1:15" x14ac:dyDescent="0.25">
      <c r="A1168" t="s">
        <v>41</v>
      </c>
      <c r="B1168" t="s">
        <v>4590</v>
      </c>
      <c r="C1168" s="1">
        <v>8473312000124</v>
      </c>
      <c r="D1168" t="s">
        <v>4591</v>
      </c>
      <c r="E1168" t="s">
        <v>4512</v>
      </c>
      <c r="F1168" t="s">
        <v>10</v>
      </c>
      <c r="G1168">
        <v>88311600</v>
      </c>
      <c r="H1168" t="s">
        <v>4592</v>
      </c>
      <c r="I1168" t="s">
        <v>4593</v>
      </c>
      <c r="J1168" t="s">
        <v>56</v>
      </c>
      <c r="K1168">
        <v>3</v>
      </c>
      <c r="L1168">
        <v>20</v>
      </c>
      <c r="M1168">
        <v>2030</v>
      </c>
      <c r="N1168" t="s">
        <v>47</v>
      </c>
      <c r="O1168" s="5">
        <f>DATE(Tabela1[[#This Row],[vigencia ano]],Tabela1[[#This Row],[vigencia mês]],Tabela1[[#This Row],[vigencia dia]])</f>
        <v>48063</v>
      </c>
    </row>
    <row r="1169" spans="1:15" x14ac:dyDescent="0.25">
      <c r="A1169" t="s">
        <v>41</v>
      </c>
      <c r="B1169" t="s">
        <v>4594</v>
      </c>
      <c r="C1169" s="1">
        <v>4517940000103</v>
      </c>
      <c r="D1169" t="s">
        <v>4595</v>
      </c>
      <c r="E1169" t="s">
        <v>4512</v>
      </c>
      <c r="F1169" t="s">
        <v>10</v>
      </c>
      <c r="G1169">
        <v>88301701</v>
      </c>
      <c r="H1169" t="s">
        <v>4596</v>
      </c>
      <c r="I1169" t="s">
        <v>4597</v>
      </c>
      <c r="J1169" t="s">
        <v>56</v>
      </c>
      <c r="K1169">
        <v>4</v>
      </c>
      <c r="L1169">
        <v>10</v>
      </c>
      <c r="M1169">
        <v>2027</v>
      </c>
      <c r="N1169" t="s">
        <v>47</v>
      </c>
      <c r="O1169" s="5">
        <f>DATE(Tabela1[[#This Row],[vigencia ano]],Tabela1[[#This Row],[vigencia mês]],Tabela1[[#This Row],[vigencia dia]])</f>
        <v>46664</v>
      </c>
    </row>
    <row r="1170" spans="1:15" x14ac:dyDescent="0.25">
      <c r="A1170" t="s">
        <v>41</v>
      </c>
      <c r="B1170" t="s">
        <v>4598</v>
      </c>
      <c r="C1170" s="1">
        <v>7720307000106</v>
      </c>
      <c r="D1170" t="s">
        <v>4599</v>
      </c>
      <c r="E1170" t="s">
        <v>4512</v>
      </c>
      <c r="F1170" t="s">
        <v>10</v>
      </c>
      <c r="G1170">
        <v>88302004</v>
      </c>
      <c r="H1170" t="s">
        <v>4600</v>
      </c>
      <c r="I1170" t="s">
        <v>4601</v>
      </c>
      <c r="J1170" t="s">
        <v>56</v>
      </c>
      <c r="K1170">
        <v>3</v>
      </c>
      <c r="L1170">
        <v>20</v>
      </c>
      <c r="M1170">
        <v>2024</v>
      </c>
      <c r="N1170" t="s">
        <v>47</v>
      </c>
      <c r="O1170" s="5">
        <f>DATE(Tabela1[[#This Row],[vigencia ano]],Tabela1[[#This Row],[vigencia mês]],Tabela1[[#This Row],[vigencia dia]])</f>
        <v>45872</v>
      </c>
    </row>
    <row r="1171" spans="1:15" x14ac:dyDescent="0.25">
      <c r="A1171" t="s">
        <v>41</v>
      </c>
      <c r="B1171" t="s">
        <v>4602</v>
      </c>
      <c r="C1171" s="1">
        <v>10651736000183</v>
      </c>
      <c r="D1171" t="s">
        <v>4603</v>
      </c>
      <c r="E1171" t="s">
        <v>4512</v>
      </c>
      <c r="F1171" t="s">
        <v>10</v>
      </c>
      <c r="G1171">
        <v>88311547</v>
      </c>
      <c r="H1171" t="s">
        <v>4604</v>
      </c>
      <c r="I1171" t="s">
        <v>4605</v>
      </c>
      <c r="J1171" t="s">
        <v>56</v>
      </c>
      <c r="K1171">
        <v>6</v>
      </c>
      <c r="L1171">
        <v>18</v>
      </c>
      <c r="M1171">
        <v>2031</v>
      </c>
      <c r="N1171" t="s">
        <v>47</v>
      </c>
      <c r="O1171" s="5">
        <f>DATE(Tabela1[[#This Row],[vigencia ano]],Tabela1[[#This Row],[vigencia mês]],Tabela1[[#This Row],[vigencia dia]])</f>
        <v>48371</v>
      </c>
    </row>
    <row r="1172" spans="1:15" x14ac:dyDescent="0.25">
      <c r="A1172" t="s">
        <v>41</v>
      </c>
      <c r="B1172" t="s">
        <v>4606</v>
      </c>
      <c r="C1172" s="1">
        <v>31626973000164</v>
      </c>
      <c r="D1172" t="s">
        <v>4607</v>
      </c>
      <c r="E1172" t="s">
        <v>4512</v>
      </c>
      <c r="F1172" t="s">
        <v>10</v>
      </c>
      <c r="G1172">
        <v>88301030</v>
      </c>
      <c r="H1172" t="s">
        <v>4608</v>
      </c>
      <c r="I1172" t="s">
        <v>4609</v>
      </c>
      <c r="J1172" t="s">
        <v>56</v>
      </c>
      <c r="K1172">
        <v>5</v>
      </c>
      <c r="L1172">
        <v>26</v>
      </c>
      <c r="M1172">
        <v>2031</v>
      </c>
      <c r="N1172" t="s">
        <v>47</v>
      </c>
      <c r="O1172" s="5">
        <f>DATE(Tabela1[[#This Row],[vigencia ano]],Tabela1[[#This Row],[vigencia mês]],Tabela1[[#This Row],[vigencia dia]])</f>
        <v>48615</v>
      </c>
    </row>
    <row r="1173" spans="1:15" x14ac:dyDescent="0.25">
      <c r="A1173" t="s">
        <v>41</v>
      </c>
      <c r="B1173" t="s">
        <v>4606</v>
      </c>
      <c r="C1173" s="1">
        <v>31626973000164</v>
      </c>
      <c r="D1173" t="s">
        <v>4607</v>
      </c>
      <c r="E1173" t="s">
        <v>4512</v>
      </c>
      <c r="F1173" t="s">
        <v>10</v>
      </c>
      <c r="G1173">
        <v>88301030</v>
      </c>
      <c r="H1173" t="s">
        <v>4610</v>
      </c>
      <c r="I1173" t="s">
        <v>4609</v>
      </c>
      <c r="J1173" t="s">
        <v>56</v>
      </c>
      <c r="K1173">
        <v>5</v>
      </c>
      <c r="L1173">
        <v>26</v>
      </c>
      <c r="M1173">
        <v>2031</v>
      </c>
      <c r="N1173" t="s">
        <v>47</v>
      </c>
      <c r="O1173" s="5">
        <f>DATE(Tabela1[[#This Row],[vigencia ano]],Tabela1[[#This Row],[vigencia mês]],Tabela1[[#This Row],[vigencia dia]])</f>
        <v>48615</v>
      </c>
    </row>
    <row r="1174" spans="1:15" x14ac:dyDescent="0.25">
      <c r="A1174" t="s">
        <v>41</v>
      </c>
      <c r="B1174" t="s">
        <v>4611</v>
      </c>
      <c r="C1174" s="1">
        <v>43672068000120</v>
      </c>
      <c r="D1174" t="s">
        <v>4612</v>
      </c>
      <c r="E1174" t="s">
        <v>4512</v>
      </c>
      <c r="F1174" t="s">
        <v>10</v>
      </c>
      <c r="G1174">
        <v>88307303</v>
      </c>
      <c r="H1174" t="s">
        <v>4613</v>
      </c>
      <c r="I1174" t="s">
        <v>4614</v>
      </c>
      <c r="J1174" t="s">
        <v>56</v>
      </c>
      <c r="K1174">
        <v>1</v>
      </c>
      <c r="L1174">
        <v>26</v>
      </c>
      <c r="M1174">
        <v>2034</v>
      </c>
      <c r="N1174" t="s">
        <v>47</v>
      </c>
      <c r="O1174" s="5">
        <f>DATE(Tabela1[[#This Row],[vigencia ano]],Tabela1[[#This Row],[vigencia mês]],Tabela1[[#This Row],[vigencia dia]])</f>
        <v>49706</v>
      </c>
    </row>
    <row r="1175" spans="1:15" x14ac:dyDescent="0.25">
      <c r="A1175" t="s">
        <v>41</v>
      </c>
      <c r="B1175" t="s">
        <v>4615</v>
      </c>
      <c r="C1175" s="1">
        <v>51277418000181</v>
      </c>
      <c r="D1175" t="s">
        <v>4616</v>
      </c>
      <c r="E1175" t="s">
        <v>4512</v>
      </c>
      <c r="F1175" t="s">
        <v>10</v>
      </c>
      <c r="G1175">
        <v>88303220</v>
      </c>
      <c r="H1175" t="s">
        <v>4469</v>
      </c>
      <c r="I1175" t="s">
        <v>4617</v>
      </c>
      <c r="J1175" t="s">
        <v>56</v>
      </c>
      <c r="K1175">
        <v>10</v>
      </c>
      <c r="L1175">
        <v>31</v>
      </c>
      <c r="M1175">
        <v>2033</v>
      </c>
      <c r="N1175" t="s">
        <v>47</v>
      </c>
      <c r="O1175" s="5">
        <f>DATE(Tabela1[[#This Row],[vigencia ano]],Tabela1[[#This Row],[vigencia mês]],Tabela1[[#This Row],[vigencia dia]])</f>
        <v>49500</v>
      </c>
    </row>
    <row r="1176" spans="1:15" x14ac:dyDescent="0.25">
      <c r="A1176" t="s">
        <v>41</v>
      </c>
      <c r="B1176" t="s">
        <v>4618</v>
      </c>
      <c r="C1176" s="1">
        <v>20976666000197</v>
      </c>
      <c r="D1176" t="s">
        <v>4619</v>
      </c>
      <c r="E1176" t="s">
        <v>4512</v>
      </c>
      <c r="F1176" t="s">
        <v>10</v>
      </c>
      <c r="G1176">
        <v>88301700</v>
      </c>
      <c r="H1176" t="s">
        <v>4620</v>
      </c>
      <c r="I1176" t="s">
        <v>4621</v>
      </c>
      <c r="J1176" t="s">
        <v>56</v>
      </c>
      <c r="K1176">
        <v>4</v>
      </c>
      <c r="L1176">
        <v>4</v>
      </c>
      <c r="M1176">
        <v>2028</v>
      </c>
      <c r="N1176" t="s">
        <v>47</v>
      </c>
      <c r="O1176" s="5">
        <f>DATE(Tabela1[[#This Row],[vigencia ano]],Tabela1[[#This Row],[vigencia mês]],Tabela1[[#This Row],[vigencia dia]])</f>
        <v>46847</v>
      </c>
    </row>
    <row r="1177" spans="1:15" x14ac:dyDescent="0.25">
      <c r="A1177" t="s">
        <v>41</v>
      </c>
      <c r="B1177" t="s">
        <v>4622</v>
      </c>
      <c r="C1177" s="1">
        <v>19614199000176</v>
      </c>
      <c r="D1177" t="s">
        <v>4623</v>
      </c>
      <c r="E1177" t="s">
        <v>4512</v>
      </c>
      <c r="F1177" t="s">
        <v>10</v>
      </c>
      <c r="G1177">
        <v>88301902</v>
      </c>
      <c r="H1177" t="s">
        <v>4624</v>
      </c>
      <c r="I1177" t="s">
        <v>4625</v>
      </c>
      <c r="J1177" t="s">
        <v>56</v>
      </c>
      <c r="K1177">
        <v>8</v>
      </c>
      <c r="L1177">
        <v>4</v>
      </c>
      <c r="M1177">
        <v>2024</v>
      </c>
      <c r="N1177" t="s">
        <v>47</v>
      </c>
      <c r="O1177" s="5">
        <f>DATE(Tabela1[[#This Row],[vigencia ano]],Tabela1[[#This Row],[vigencia mês]],Tabela1[[#This Row],[vigencia dia]])</f>
        <v>45390</v>
      </c>
    </row>
    <row r="1178" spans="1:15" x14ac:dyDescent="0.25">
      <c r="A1178" t="s">
        <v>41</v>
      </c>
      <c r="B1178" t="s">
        <v>4626</v>
      </c>
      <c r="C1178" s="1">
        <v>9423645000101</v>
      </c>
      <c r="D1178" t="s">
        <v>4627</v>
      </c>
      <c r="E1178" t="s">
        <v>4512</v>
      </c>
      <c r="F1178" t="s">
        <v>10</v>
      </c>
      <c r="G1178">
        <v>88310697</v>
      </c>
      <c r="H1178" t="s">
        <v>4628</v>
      </c>
      <c r="I1178" t="s">
        <v>4629</v>
      </c>
      <c r="J1178" t="s">
        <v>56</v>
      </c>
      <c r="K1178">
        <v>10</v>
      </c>
      <c r="L1178">
        <v>3</v>
      </c>
      <c r="M1178">
        <v>2034</v>
      </c>
      <c r="N1178" t="s">
        <v>47</v>
      </c>
      <c r="O1178" s="5">
        <f>DATE(Tabela1[[#This Row],[vigencia ano]],Tabela1[[#This Row],[vigencia mês]],Tabela1[[#This Row],[vigencia dia]])</f>
        <v>49013</v>
      </c>
    </row>
    <row r="1179" spans="1:15" x14ac:dyDescent="0.25">
      <c r="A1179" t="s">
        <v>41</v>
      </c>
      <c r="B1179" t="s">
        <v>4630</v>
      </c>
      <c r="C1179" s="1">
        <v>47009019000162</v>
      </c>
      <c r="D1179" t="s">
        <v>4631</v>
      </c>
      <c r="E1179" t="s">
        <v>4512</v>
      </c>
      <c r="F1179" t="s">
        <v>10</v>
      </c>
      <c r="G1179">
        <v>88301302</v>
      </c>
      <c r="H1179" t="s">
        <v>4632</v>
      </c>
      <c r="I1179" t="s">
        <v>4633</v>
      </c>
      <c r="J1179" t="s">
        <v>56</v>
      </c>
      <c r="K1179">
        <v>4</v>
      </c>
      <c r="L1179">
        <v>9</v>
      </c>
      <c r="M1179">
        <v>2035</v>
      </c>
      <c r="N1179" t="s">
        <v>4634</v>
      </c>
      <c r="O1179" s="5">
        <f>DATE(Tabela1[[#This Row],[vigencia ano]],Tabela1[[#This Row],[vigencia mês]],Tabela1[[#This Row],[vigencia dia]])</f>
        <v>49556</v>
      </c>
    </row>
    <row r="1180" spans="1:15" x14ac:dyDescent="0.25">
      <c r="A1180" t="s">
        <v>41</v>
      </c>
      <c r="B1180" t="s">
        <v>4635</v>
      </c>
      <c r="C1180" s="1">
        <v>36771417000103</v>
      </c>
      <c r="D1180" t="s">
        <v>4636</v>
      </c>
      <c r="E1180" t="s">
        <v>4512</v>
      </c>
      <c r="F1180" t="s">
        <v>10</v>
      </c>
      <c r="G1180">
        <v>88307322</v>
      </c>
      <c r="H1180" t="s">
        <v>4637</v>
      </c>
      <c r="I1180" t="s">
        <v>4638</v>
      </c>
      <c r="J1180" t="s">
        <v>56</v>
      </c>
      <c r="K1180">
        <v>2</v>
      </c>
      <c r="L1180">
        <v>26</v>
      </c>
      <c r="M1180">
        <v>2036</v>
      </c>
      <c r="N1180" t="s">
        <v>4639</v>
      </c>
      <c r="O1180" s="5">
        <f>DATE(Tabela1[[#This Row],[vigencia ano]],Tabela1[[#This Row],[vigencia mês]],Tabela1[[#This Row],[vigencia dia]])</f>
        <v>50438</v>
      </c>
    </row>
    <row r="1181" spans="1:15" x14ac:dyDescent="0.25">
      <c r="A1181" t="s">
        <v>41</v>
      </c>
      <c r="B1181" t="s">
        <v>4635</v>
      </c>
      <c r="C1181" s="1">
        <v>36771417000103</v>
      </c>
      <c r="D1181" t="s">
        <v>4636</v>
      </c>
      <c r="E1181" t="s">
        <v>4512</v>
      </c>
      <c r="F1181" t="s">
        <v>10</v>
      </c>
      <c r="G1181">
        <v>88307322</v>
      </c>
      <c r="H1181" t="s">
        <v>4640</v>
      </c>
      <c r="I1181" t="s">
        <v>4638</v>
      </c>
      <c r="J1181" t="s">
        <v>56</v>
      </c>
      <c r="K1181">
        <v>2</v>
      </c>
      <c r="L1181">
        <v>26</v>
      </c>
      <c r="M1181">
        <v>2036</v>
      </c>
      <c r="N1181" t="s">
        <v>4639</v>
      </c>
      <c r="O1181" s="5">
        <f>DATE(Tabela1[[#This Row],[vigencia ano]],Tabela1[[#This Row],[vigencia mês]],Tabela1[[#This Row],[vigencia dia]])</f>
        <v>50438</v>
      </c>
    </row>
    <row r="1182" spans="1:15" x14ac:dyDescent="0.25">
      <c r="A1182" t="s">
        <v>41</v>
      </c>
      <c r="B1182" t="s">
        <v>4641</v>
      </c>
      <c r="C1182" s="1">
        <v>25408353000156</v>
      </c>
      <c r="D1182" t="s">
        <v>4642</v>
      </c>
      <c r="E1182" t="s">
        <v>4512</v>
      </c>
      <c r="F1182" t="s">
        <v>10</v>
      </c>
      <c r="G1182">
        <v>88301030</v>
      </c>
      <c r="H1182" t="s">
        <v>4643</v>
      </c>
      <c r="I1182" t="s">
        <v>4644</v>
      </c>
      <c r="J1182" t="s">
        <v>46</v>
      </c>
      <c r="K1182">
        <v>7</v>
      </c>
      <c r="L1182">
        <v>10</v>
      </c>
      <c r="M1182">
        <v>2035</v>
      </c>
      <c r="N1182" t="s">
        <v>4645</v>
      </c>
      <c r="O1182" s="5">
        <f>DATE(Tabela1[[#This Row],[vigencia ano]],Tabela1[[#This Row],[vigencia mês]],Tabela1[[#This Row],[vigencia dia]])</f>
        <v>49589</v>
      </c>
    </row>
    <row r="1183" spans="1:15" x14ac:dyDescent="0.25">
      <c r="A1183" t="s">
        <v>41</v>
      </c>
      <c r="B1183" t="s">
        <v>4646</v>
      </c>
      <c r="C1183" s="1">
        <v>14781362000171</v>
      </c>
      <c r="D1183" t="s">
        <v>4647</v>
      </c>
      <c r="E1183" t="s">
        <v>4648</v>
      </c>
      <c r="F1183" t="s">
        <v>10</v>
      </c>
      <c r="G1183">
        <v>89365080</v>
      </c>
      <c r="H1183" t="s">
        <v>4649</v>
      </c>
      <c r="I1183" t="s">
        <v>4650</v>
      </c>
      <c r="J1183" t="s">
        <v>56</v>
      </c>
      <c r="K1183">
        <v>2</v>
      </c>
      <c r="L1183">
        <v>10</v>
      </c>
      <c r="M1183">
        <v>2035</v>
      </c>
      <c r="N1183" t="s">
        <v>4651</v>
      </c>
      <c r="O1183" s="5">
        <f>DATE(Tabela1[[#This Row],[vigencia ano]],Tabela1[[#This Row],[vigencia mês]],Tabela1[[#This Row],[vigencia dia]])</f>
        <v>49584</v>
      </c>
    </row>
    <row r="1184" spans="1:15" x14ac:dyDescent="0.25">
      <c r="A1184" t="s">
        <v>41</v>
      </c>
      <c r="B1184" t="s">
        <v>4652</v>
      </c>
      <c r="C1184" s="1">
        <v>5638569000109</v>
      </c>
      <c r="D1184" t="s">
        <v>4653</v>
      </c>
      <c r="E1184" t="s">
        <v>4648</v>
      </c>
      <c r="F1184" t="s">
        <v>10</v>
      </c>
      <c r="G1184">
        <v>89249000</v>
      </c>
      <c r="H1184" t="s">
        <v>4654</v>
      </c>
      <c r="I1184" t="s">
        <v>4655</v>
      </c>
      <c r="J1184" t="s">
        <v>56</v>
      </c>
      <c r="K1184">
        <v>2</v>
      </c>
      <c r="L1184">
        <v>18</v>
      </c>
      <c r="M1184">
        <v>2035</v>
      </c>
      <c r="N1184" t="s">
        <v>4656</v>
      </c>
      <c r="O1184" s="5">
        <f>DATE(Tabela1[[#This Row],[vigencia ano]],Tabela1[[#This Row],[vigencia mês]],Tabela1[[#This Row],[vigencia dia]])</f>
        <v>49828</v>
      </c>
    </row>
    <row r="1185" spans="1:15" x14ac:dyDescent="0.25">
      <c r="A1185" t="s">
        <v>41</v>
      </c>
      <c r="B1185" t="s">
        <v>4657</v>
      </c>
      <c r="C1185" s="1">
        <v>9265225000144</v>
      </c>
      <c r="D1185" t="s">
        <v>4658</v>
      </c>
      <c r="E1185" t="s">
        <v>4659</v>
      </c>
      <c r="F1185" t="s">
        <v>10</v>
      </c>
      <c r="G1185">
        <v>89258120</v>
      </c>
      <c r="H1185" t="s">
        <v>4660</v>
      </c>
      <c r="I1185" t="s">
        <v>4661</v>
      </c>
      <c r="J1185" t="s">
        <v>56</v>
      </c>
      <c r="K1185">
        <v>4</v>
      </c>
      <c r="L1185">
        <v>20</v>
      </c>
      <c r="M1185">
        <v>2032</v>
      </c>
      <c r="N1185" t="s">
        <v>47</v>
      </c>
      <c r="O1185" s="5">
        <f>DATE(Tabela1[[#This Row],[vigencia ano]],Tabela1[[#This Row],[vigencia mês]],Tabela1[[#This Row],[vigencia dia]])</f>
        <v>48795</v>
      </c>
    </row>
    <row r="1186" spans="1:15" x14ac:dyDescent="0.25">
      <c r="A1186" t="s">
        <v>41</v>
      </c>
      <c r="B1186" t="s">
        <v>4662</v>
      </c>
      <c r="C1186" s="1">
        <v>31402132000173</v>
      </c>
      <c r="D1186" t="s">
        <v>4663</v>
      </c>
      <c r="E1186" t="s">
        <v>4664</v>
      </c>
      <c r="F1186" t="s">
        <v>10</v>
      </c>
      <c r="G1186">
        <v>89216203</v>
      </c>
      <c r="H1186" t="s">
        <v>4665</v>
      </c>
      <c r="I1186" t="s">
        <v>4666</v>
      </c>
      <c r="J1186" t="s">
        <v>56</v>
      </c>
      <c r="K1186">
        <v>9</v>
      </c>
      <c r="L1186">
        <v>21</v>
      </c>
      <c r="M1186">
        <v>2030</v>
      </c>
      <c r="N1186" t="s">
        <v>47</v>
      </c>
      <c r="O1186" s="5">
        <f>DATE(Tabela1[[#This Row],[vigencia ano]],Tabela1[[#This Row],[vigencia mês]],Tabela1[[#This Row],[vigencia dia]])</f>
        <v>48100</v>
      </c>
    </row>
    <row r="1187" spans="1:15" x14ac:dyDescent="0.25">
      <c r="A1187" t="s">
        <v>41</v>
      </c>
      <c r="B1187" t="s">
        <v>4667</v>
      </c>
      <c r="C1187" s="1">
        <v>30187943000136</v>
      </c>
      <c r="D1187" t="s">
        <v>4668</v>
      </c>
      <c r="E1187" t="s">
        <v>4664</v>
      </c>
      <c r="F1187" t="s">
        <v>10</v>
      </c>
      <c r="G1187">
        <v>89213140</v>
      </c>
      <c r="H1187" t="s">
        <v>4669</v>
      </c>
      <c r="I1187" t="s">
        <v>4670</v>
      </c>
      <c r="J1187" t="s">
        <v>56</v>
      </c>
      <c r="K1187">
        <v>9</v>
      </c>
      <c r="L1187">
        <v>15</v>
      </c>
      <c r="M1187">
        <v>2032</v>
      </c>
      <c r="N1187" t="s">
        <v>47</v>
      </c>
      <c r="O1187" s="5">
        <f>DATE(Tabela1[[#This Row],[vigencia ano]],Tabela1[[#This Row],[vigencia mês]],Tabela1[[#This Row],[vigencia dia]])</f>
        <v>48647</v>
      </c>
    </row>
    <row r="1188" spans="1:15" x14ac:dyDescent="0.25">
      <c r="A1188" t="s">
        <v>41</v>
      </c>
      <c r="B1188" t="s">
        <v>4671</v>
      </c>
      <c r="C1188" s="1">
        <v>78663788000103</v>
      </c>
      <c r="D1188" t="s">
        <v>4672</v>
      </c>
      <c r="E1188" t="s">
        <v>4664</v>
      </c>
      <c r="F1188" t="s">
        <v>10</v>
      </c>
      <c r="G1188">
        <v>89219502</v>
      </c>
      <c r="H1188" t="s">
        <v>4673</v>
      </c>
      <c r="I1188" t="s">
        <v>4674</v>
      </c>
      <c r="J1188" t="s">
        <v>56</v>
      </c>
      <c r="K1188">
        <v>3</v>
      </c>
      <c r="L1188">
        <v>6</v>
      </c>
      <c r="M1188">
        <v>2030</v>
      </c>
      <c r="N1188" t="s">
        <v>47</v>
      </c>
      <c r="O1188" s="5">
        <f>DATE(Tabela1[[#This Row],[vigencia ano]],Tabela1[[#This Row],[vigencia mês]],Tabela1[[#This Row],[vigencia dia]])</f>
        <v>47637</v>
      </c>
    </row>
    <row r="1189" spans="1:15" x14ac:dyDescent="0.25">
      <c r="A1189" t="s">
        <v>41</v>
      </c>
      <c r="B1189" t="s">
        <v>4675</v>
      </c>
      <c r="C1189" s="1">
        <v>6225952000190</v>
      </c>
      <c r="D1189" t="s">
        <v>4676</v>
      </c>
      <c r="E1189" t="s">
        <v>4664</v>
      </c>
      <c r="F1189" t="s">
        <v>10</v>
      </c>
      <c r="G1189">
        <v>89219600</v>
      </c>
      <c r="H1189" t="s">
        <v>4677</v>
      </c>
      <c r="I1189" t="s">
        <v>4678</v>
      </c>
      <c r="J1189" t="s">
        <v>56</v>
      </c>
      <c r="K1189">
        <v>11</v>
      </c>
      <c r="L1189">
        <v>17</v>
      </c>
      <c r="M1189">
        <v>2027</v>
      </c>
      <c r="N1189" t="s">
        <v>47</v>
      </c>
      <c r="O1189" s="5">
        <f>DATE(Tabela1[[#This Row],[vigencia ano]],Tabela1[[#This Row],[vigencia mês]],Tabela1[[#This Row],[vigencia dia]])</f>
        <v>46884</v>
      </c>
    </row>
    <row r="1190" spans="1:15" x14ac:dyDescent="0.25">
      <c r="A1190" t="s">
        <v>41</v>
      </c>
      <c r="B1190" t="s">
        <v>4675</v>
      </c>
      <c r="C1190" s="1">
        <v>6225952000190</v>
      </c>
      <c r="D1190" t="s">
        <v>4676</v>
      </c>
      <c r="E1190" t="s">
        <v>4664</v>
      </c>
      <c r="F1190" t="s">
        <v>10</v>
      </c>
      <c r="G1190">
        <v>89219600</v>
      </c>
      <c r="H1190" t="s">
        <v>4679</v>
      </c>
      <c r="I1190" t="s">
        <v>4678</v>
      </c>
      <c r="J1190" t="s">
        <v>56</v>
      </c>
      <c r="K1190">
        <v>11</v>
      </c>
      <c r="L1190">
        <v>17</v>
      </c>
      <c r="M1190">
        <v>2027</v>
      </c>
      <c r="N1190" t="s">
        <v>47</v>
      </c>
      <c r="O1190" s="5">
        <f>DATE(Tabela1[[#This Row],[vigencia ano]],Tabela1[[#This Row],[vigencia mês]],Tabela1[[#This Row],[vigencia dia]])</f>
        <v>46884</v>
      </c>
    </row>
    <row r="1191" spans="1:15" x14ac:dyDescent="0.25">
      <c r="A1191" t="s">
        <v>41</v>
      </c>
      <c r="B1191" t="s">
        <v>4680</v>
      </c>
      <c r="C1191" s="1">
        <v>10403318000177</v>
      </c>
      <c r="D1191" t="s">
        <v>4681</v>
      </c>
      <c r="E1191" t="s">
        <v>4664</v>
      </c>
      <c r="F1191" t="s">
        <v>10</v>
      </c>
      <c r="G1191">
        <v>89219600</v>
      </c>
      <c r="H1191" t="s">
        <v>4682</v>
      </c>
      <c r="I1191" t="s">
        <v>4683</v>
      </c>
      <c r="J1191" t="s">
        <v>56</v>
      </c>
      <c r="K1191">
        <v>1</v>
      </c>
      <c r="L1191">
        <v>21</v>
      </c>
      <c r="M1191">
        <v>2029</v>
      </c>
      <c r="N1191" t="s">
        <v>47</v>
      </c>
      <c r="O1191" s="5">
        <f>DATE(Tabela1[[#This Row],[vigencia ano]],Tabela1[[#This Row],[vigencia mês]],Tabela1[[#This Row],[vigencia dia]])</f>
        <v>47727</v>
      </c>
    </row>
    <row r="1192" spans="1:15" x14ac:dyDescent="0.25">
      <c r="A1192" t="s">
        <v>41</v>
      </c>
      <c r="B1192" t="s">
        <v>4684</v>
      </c>
      <c r="C1192" s="1">
        <v>8898687000136</v>
      </c>
      <c r="D1192" t="s">
        <v>4685</v>
      </c>
      <c r="E1192" t="s">
        <v>4664</v>
      </c>
      <c r="F1192" t="s">
        <v>10</v>
      </c>
      <c r="G1192">
        <v>89219600</v>
      </c>
      <c r="H1192" t="s">
        <v>4686</v>
      </c>
      <c r="I1192" t="s">
        <v>4687</v>
      </c>
      <c r="J1192" t="s">
        <v>56</v>
      </c>
      <c r="K1192">
        <v>2</v>
      </c>
      <c r="L1192">
        <v>11</v>
      </c>
      <c r="M1192">
        <v>2026</v>
      </c>
      <c r="N1192" t="s">
        <v>47</v>
      </c>
      <c r="O1192" s="5">
        <f>DATE(Tabela1[[#This Row],[vigencia ano]],Tabela1[[#This Row],[vigencia mês]],Tabela1[[#This Row],[vigencia dia]])</f>
        <v>46328</v>
      </c>
    </row>
    <row r="1193" spans="1:15" x14ac:dyDescent="0.25">
      <c r="A1193" t="s">
        <v>41</v>
      </c>
      <c r="B1193" t="s">
        <v>4688</v>
      </c>
      <c r="C1193" s="1">
        <v>85348407000167</v>
      </c>
      <c r="D1193" t="s">
        <v>4689</v>
      </c>
      <c r="E1193" t="s">
        <v>4664</v>
      </c>
      <c r="F1193" t="s">
        <v>10</v>
      </c>
      <c r="G1193">
        <v>89213125</v>
      </c>
      <c r="H1193" t="s">
        <v>4690</v>
      </c>
      <c r="I1193" t="s">
        <v>4691</v>
      </c>
      <c r="J1193" t="s">
        <v>56</v>
      </c>
      <c r="K1193">
        <v>6</v>
      </c>
      <c r="L1193">
        <v>13</v>
      </c>
      <c r="M1193">
        <v>2035</v>
      </c>
      <c r="N1193" t="s">
        <v>4692</v>
      </c>
      <c r="O1193" s="5">
        <f>DATE(Tabela1[[#This Row],[vigencia ano]],Tabela1[[#This Row],[vigencia mês]],Tabela1[[#This Row],[vigencia dia]])</f>
        <v>49680</v>
      </c>
    </row>
    <row r="1194" spans="1:15" x14ac:dyDescent="0.25">
      <c r="A1194" t="s">
        <v>41</v>
      </c>
      <c r="B1194" t="s">
        <v>4693</v>
      </c>
      <c r="C1194" s="1">
        <v>80739014000160</v>
      </c>
      <c r="D1194" t="s">
        <v>4694</v>
      </c>
      <c r="E1194" t="s">
        <v>4695</v>
      </c>
      <c r="F1194" t="s">
        <v>10</v>
      </c>
      <c r="G1194">
        <v>88516890</v>
      </c>
      <c r="H1194" t="s">
        <v>4696</v>
      </c>
      <c r="I1194" t="s">
        <v>4697</v>
      </c>
      <c r="J1194" t="s">
        <v>56</v>
      </c>
      <c r="K1194">
        <v>7</v>
      </c>
      <c r="L1194">
        <v>5</v>
      </c>
      <c r="M1194">
        <v>2027</v>
      </c>
      <c r="N1194" t="s">
        <v>47</v>
      </c>
      <c r="O1194" s="5">
        <f>DATE(Tabela1[[#This Row],[vigencia ano]],Tabela1[[#This Row],[vigencia mês]],Tabela1[[#This Row],[vigencia dia]])</f>
        <v>46514</v>
      </c>
    </row>
    <row r="1195" spans="1:15" x14ac:dyDescent="0.25">
      <c r="A1195" t="s">
        <v>41</v>
      </c>
      <c r="B1195" t="s">
        <v>4698</v>
      </c>
      <c r="C1195" s="1">
        <v>7357980000123</v>
      </c>
      <c r="D1195" t="s">
        <v>4699</v>
      </c>
      <c r="E1195" t="s">
        <v>4695</v>
      </c>
      <c r="F1195" t="s">
        <v>10</v>
      </c>
      <c r="G1195">
        <v>88502070</v>
      </c>
      <c r="H1195" t="s">
        <v>4700</v>
      </c>
      <c r="I1195" t="s">
        <v>4701</v>
      </c>
      <c r="J1195" t="s">
        <v>56</v>
      </c>
      <c r="K1195">
        <v>7</v>
      </c>
      <c r="L1195">
        <v>18</v>
      </c>
      <c r="M1195">
        <v>2027</v>
      </c>
      <c r="N1195" t="s">
        <v>47</v>
      </c>
      <c r="O1195" s="5">
        <f>DATE(Tabela1[[#This Row],[vigencia ano]],Tabela1[[#This Row],[vigencia mês]],Tabela1[[#This Row],[vigencia dia]])</f>
        <v>46911</v>
      </c>
    </row>
    <row r="1196" spans="1:15" x14ac:dyDescent="0.25">
      <c r="A1196" t="s">
        <v>41</v>
      </c>
      <c r="B1196" t="s">
        <v>4702</v>
      </c>
      <c r="C1196" s="1">
        <v>15245792000131</v>
      </c>
      <c r="D1196" t="s">
        <v>4703</v>
      </c>
      <c r="E1196" t="s">
        <v>4704</v>
      </c>
      <c r="F1196" t="s">
        <v>10</v>
      </c>
      <c r="G1196">
        <v>88370888</v>
      </c>
      <c r="H1196" t="s">
        <v>4705</v>
      </c>
      <c r="I1196" t="s">
        <v>4706</v>
      </c>
      <c r="J1196" t="s">
        <v>56</v>
      </c>
      <c r="K1196">
        <v>11</v>
      </c>
      <c r="L1196">
        <v>1</v>
      </c>
      <c r="M1196">
        <v>2033</v>
      </c>
      <c r="N1196" t="s">
        <v>47</v>
      </c>
      <c r="O1196" s="5">
        <f>DATE(Tabela1[[#This Row],[vigencia ano]],Tabela1[[#This Row],[vigencia mês]],Tabela1[[#This Row],[vigencia dia]])</f>
        <v>48590</v>
      </c>
    </row>
    <row r="1197" spans="1:15" x14ac:dyDescent="0.25">
      <c r="A1197" t="s">
        <v>41</v>
      </c>
      <c r="B1197" t="s">
        <v>4707</v>
      </c>
      <c r="C1197" s="1">
        <v>49551050000156</v>
      </c>
      <c r="D1197" t="s">
        <v>4708</v>
      </c>
      <c r="E1197" t="s">
        <v>4704</v>
      </c>
      <c r="F1197" t="s">
        <v>10</v>
      </c>
      <c r="G1197">
        <v>88370888</v>
      </c>
      <c r="H1197" t="s">
        <v>4709</v>
      </c>
      <c r="I1197" t="s">
        <v>4710</v>
      </c>
      <c r="J1197" t="s">
        <v>56</v>
      </c>
      <c r="K1197">
        <v>8</v>
      </c>
      <c r="L1197">
        <v>21</v>
      </c>
      <c r="M1197">
        <v>2034</v>
      </c>
      <c r="N1197" t="s">
        <v>47</v>
      </c>
      <c r="O1197" s="5">
        <f>DATE(Tabela1[[#This Row],[vigencia ano]],Tabela1[[#This Row],[vigencia mês]],Tabela1[[#This Row],[vigencia dia]])</f>
        <v>49560</v>
      </c>
    </row>
    <row r="1198" spans="1:15" x14ac:dyDescent="0.25">
      <c r="A1198" t="s">
        <v>41</v>
      </c>
      <c r="B1198" t="s">
        <v>4711</v>
      </c>
      <c r="C1198" s="1">
        <v>37361428000170</v>
      </c>
      <c r="D1198" t="s">
        <v>4712</v>
      </c>
      <c r="E1198" t="s">
        <v>4704</v>
      </c>
      <c r="F1198" t="s">
        <v>10</v>
      </c>
      <c r="G1198">
        <v>88370888</v>
      </c>
      <c r="H1198" t="s">
        <v>367</v>
      </c>
      <c r="I1198" t="s">
        <v>4713</v>
      </c>
      <c r="J1198" t="s">
        <v>56</v>
      </c>
      <c r="K1198">
        <v>10</v>
      </c>
      <c r="L1198">
        <v>20</v>
      </c>
      <c r="M1198">
        <v>2032</v>
      </c>
      <c r="N1198" t="s">
        <v>47</v>
      </c>
      <c r="O1198" s="5">
        <f>DATE(Tabela1[[#This Row],[vigencia ano]],Tabela1[[#This Row],[vigencia mês]],Tabela1[[#This Row],[vigencia dia]])</f>
        <v>48801</v>
      </c>
    </row>
    <row r="1199" spans="1:15" x14ac:dyDescent="0.25">
      <c r="A1199" t="s">
        <v>41</v>
      </c>
      <c r="B1199" t="s">
        <v>4714</v>
      </c>
      <c r="C1199" s="1">
        <v>44474613000136</v>
      </c>
      <c r="D1199" t="s">
        <v>4715</v>
      </c>
      <c r="E1199" t="s">
        <v>4704</v>
      </c>
      <c r="F1199" t="s">
        <v>10</v>
      </c>
      <c r="G1199">
        <v>88370234</v>
      </c>
      <c r="H1199" t="s">
        <v>4716</v>
      </c>
      <c r="I1199" t="s">
        <v>4717</v>
      </c>
      <c r="J1199" t="s">
        <v>56</v>
      </c>
      <c r="K1199">
        <v>2</v>
      </c>
      <c r="L1199">
        <v>15</v>
      </c>
      <c r="M1199">
        <v>2033</v>
      </c>
      <c r="N1199" t="s">
        <v>47</v>
      </c>
      <c r="O1199" s="5">
        <f>DATE(Tabela1[[#This Row],[vigencia ano]],Tabela1[[#This Row],[vigencia mês]],Tabela1[[#This Row],[vigencia dia]])</f>
        <v>49005</v>
      </c>
    </row>
    <row r="1200" spans="1:15" x14ac:dyDescent="0.25">
      <c r="A1200" t="s">
        <v>41</v>
      </c>
      <c r="B1200" t="s">
        <v>4718</v>
      </c>
      <c r="C1200" s="1">
        <v>29461751000197</v>
      </c>
      <c r="D1200" t="s">
        <v>4719</v>
      </c>
      <c r="E1200" t="s">
        <v>4720</v>
      </c>
      <c r="F1200" t="s">
        <v>10</v>
      </c>
      <c r="G1200">
        <v>88133568</v>
      </c>
      <c r="H1200" t="s">
        <v>367</v>
      </c>
      <c r="I1200" t="s">
        <v>4721</v>
      </c>
      <c r="J1200" t="s">
        <v>56</v>
      </c>
      <c r="K1200">
        <v>12</v>
      </c>
      <c r="L1200">
        <v>29</v>
      </c>
      <c r="M1200">
        <v>2031</v>
      </c>
      <c r="N1200" t="s">
        <v>47</v>
      </c>
      <c r="O1200" s="5">
        <f>DATE(Tabela1[[#This Row],[vigencia ano]],Tabela1[[#This Row],[vigencia mês]],Tabela1[[#This Row],[vigencia dia]])</f>
        <v>48711</v>
      </c>
    </row>
    <row r="1201" spans="1:15" x14ac:dyDescent="0.25">
      <c r="A1201" t="s">
        <v>41</v>
      </c>
      <c r="B1201" t="s">
        <v>4722</v>
      </c>
      <c r="C1201" s="1">
        <v>73682676000186</v>
      </c>
      <c r="D1201" t="s">
        <v>4723</v>
      </c>
      <c r="E1201" t="s">
        <v>4724</v>
      </c>
      <c r="F1201" t="s">
        <v>10</v>
      </c>
      <c r="G1201">
        <v>89295000</v>
      </c>
      <c r="H1201" t="s">
        <v>4725</v>
      </c>
      <c r="I1201" t="s">
        <v>4726</v>
      </c>
      <c r="J1201" t="s">
        <v>46</v>
      </c>
      <c r="K1201">
        <v>11</v>
      </c>
      <c r="L1201">
        <v>29</v>
      </c>
      <c r="M1201">
        <v>2015</v>
      </c>
      <c r="N1201" t="s">
        <v>47</v>
      </c>
      <c r="O1201" s="5">
        <f>DATE(Tabela1[[#This Row],[vigencia ano]],Tabela1[[#This Row],[vigencia mês]],Tabela1[[#This Row],[vigencia dia]])</f>
        <v>42866</v>
      </c>
    </row>
    <row r="1202" spans="1:15" x14ac:dyDescent="0.25">
      <c r="A1202" t="s">
        <v>41</v>
      </c>
      <c r="B1202" t="s">
        <v>4727</v>
      </c>
      <c r="C1202" s="1">
        <v>18588671000180</v>
      </c>
      <c r="D1202" t="s">
        <v>4728</v>
      </c>
      <c r="E1202" t="s">
        <v>4729</v>
      </c>
      <c r="F1202" t="s">
        <v>10</v>
      </c>
      <c r="G1202">
        <v>89291170</v>
      </c>
      <c r="H1202" t="s">
        <v>4730</v>
      </c>
      <c r="I1202" t="s">
        <v>4731</v>
      </c>
      <c r="J1202" t="s">
        <v>56</v>
      </c>
      <c r="K1202">
        <v>5</v>
      </c>
      <c r="L1202">
        <v>15</v>
      </c>
      <c r="M1202">
        <v>2030</v>
      </c>
      <c r="N1202" t="s">
        <v>47</v>
      </c>
      <c r="O1202" s="5">
        <f>DATE(Tabela1[[#This Row],[vigencia ano]],Tabela1[[#This Row],[vigencia mês]],Tabela1[[#This Row],[vigencia dia]])</f>
        <v>47912</v>
      </c>
    </row>
    <row r="1203" spans="1:15" x14ac:dyDescent="0.25">
      <c r="A1203" t="s">
        <v>41</v>
      </c>
      <c r="B1203" t="s">
        <v>4732</v>
      </c>
      <c r="C1203" s="1">
        <v>7628866000190</v>
      </c>
      <c r="D1203" t="s">
        <v>4733</v>
      </c>
      <c r="E1203" t="s">
        <v>4734</v>
      </c>
      <c r="F1203" t="s">
        <v>10</v>
      </c>
      <c r="G1203">
        <v>89240000</v>
      </c>
      <c r="H1203" t="s">
        <v>1893</v>
      </c>
      <c r="I1203" t="s">
        <v>4735</v>
      </c>
      <c r="J1203" t="s">
        <v>56</v>
      </c>
      <c r="K1203">
        <v>1</v>
      </c>
      <c r="L1203">
        <v>26</v>
      </c>
      <c r="M1203">
        <v>2032</v>
      </c>
      <c r="N1203" t="s">
        <v>47</v>
      </c>
      <c r="O1203" s="5">
        <f>DATE(Tabela1[[#This Row],[vigencia ano]],Tabela1[[#This Row],[vigencia mês]],Tabela1[[#This Row],[vigencia dia]])</f>
        <v>48976</v>
      </c>
    </row>
    <row r="1204" spans="1:15" x14ac:dyDescent="0.25">
      <c r="A1204" t="s">
        <v>41</v>
      </c>
      <c r="B1204" t="s">
        <v>4736</v>
      </c>
      <c r="C1204" s="1">
        <v>19037622000112</v>
      </c>
      <c r="D1204" t="s">
        <v>4737</v>
      </c>
      <c r="E1204" t="s">
        <v>4734</v>
      </c>
      <c r="F1204" t="s">
        <v>10</v>
      </c>
      <c r="G1204">
        <v>89240000</v>
      </c>
      <c r="H1204" t="s">
        <v>4738</v>
      </c>
      <c r="I1204" t="s">
        <v>4739</v>
      </c>
      <c r="J1204" t="s">
        <v>56</v>
      </c>
      <c r="K1204">
        <v>9</v>
      </c>
      <c r="L1204">
        <v>4</v>
      </c>
      <c r="M1204">
        <v>2030</v>
      </c>
      <c r="N1204" t="s">
        <v>47</v>
      </c>
      <c r="O1204" s="5">
        <f>DATE(Tabela1[[#This Row],[vigencia ano]],Tabela1[[#This Row],[vigencia mês]],Tabela1[[#This Row],[vigencia dia]])</f>
        <v>47582</v>
      </c>
    </row>
    <row r="1205" spans="1:15" x14ac:dyDescent="0.25">
      <c r="A1205" t="s">
        <v>41</v>
      </c>
      <c r="B1205" t="s">
        <v>4740</v>
      </c>
      <c r="C1205" s="1">
        <v>6139591000169</v>
      </c>
      <c r="D1205" t="s">
        <v>4741</v>
      </c>
      <c r="E1205" t="s">
        <v>4734</v>
      </c>
      <c r="F1205" t="s">
        <v>10</v>
      </c>
      <c r="G1205">
        <v>89240000</v>
      </c>
      <c r="H1205" t="s">
        <v>4742</v>
      </c>
      <c r="I1205" t="s">
        <v>4743</v>
      </c>
      <c r="J1205" t="s">
        <v>46</v>
      </c>
      <c r="K1205">
        <v>10</v>
      </c>
      <c r="L1205">
        <v>25</v>
      </c>
      <c r="M1205">
        <v>2015</v>
      </c>
      <c r="N1205" t="s">
        <v>47</v>
      </c>
      <c r="O1205" s="5">
        <f>DATE(Tabela1[[#This Row],[vigencia ano]],Tabela1[[#This Row],[vigencia mês]],Tabela1[[#This Row],[vigencia dia]])</f>
        <v>42745</v>
      </c>
    </row>
    <row r="1206" spans="1:15" x14ac:dyDescent="0.25">
      <c r="A1206" t="s">
        <v>41</v>
      </c>
      <c r="B1206" t="s">
        <v>4744</v>
      </c>
      <c r="C1206" s="1">
        <v>1554212000183</v>
      </c>
      <c r="D1206" t="s">
        <v>4745</v>
      </c>
      <c r="E1206" t="s">
        <v>4734</v>
      </c>
      <c r="F1206" t="s">
        <v>10</v>
      </c>
      <c r="G1206">
        <v>89240000</v>
      </c>
      <c r="H1206" t="s">
        <v>4746</v>
      </c>
      <c r="I1206" t="s">
        <v>4747</v>
      </c>
      <c r="J1206" t="s">
        <v>46</v>
      </c>
      <c r="K1206">
        <v>11</v>
      </c>
      <c r="L1206">
        <v>19</v>
      </c>
      <c r="M1206">
        <v>2018</v>
      </c>
      <c r="N1206" t="s">
        <v>47</v>
      </c>
      <c r="O1206" s="5">
        <f>DATE(Tabela1[[#This Row],[vigencia ano]],Tabela1[[#This Row],[vigencia mês]],Tabela1[[#This Row],[vigencia dia]])</f>
        <v>43657</v>
      </c>
    </row>
    <row r="1207" spans="1:15" x14ac:dyDescent="0.25">
      <c r="A1207" t="s">
        <v>41</v>
      </c>
      <c r="B1207" t="s">
        <v>4748</v>
      </c>
      <c r="C1207" s="1">
        <v>47918176000190</v>
      </c>
      <c r="D1207" t="s">
        <v>4749</v>
      </c>
      <c r="E1207" t="s">
        <v>4750</v>
      </c>
      <c r="F1207" t="s">
        <v>10</v>
      </c>
      <c r="G1207">
        <v>88200000</v>
      </c>
      <c r="H1207" t="s">
        <v>367</v>
      </c>
      <c r="I1207" t="s">
        <v>4751</v>
      </c>
      <c r="J1207" t="s">
        <v>56</v>
      </c>
      <c r="K1207">
        <v>8</v>
      </c>
      <c r="L1207">
        <v>10</v>
      </c>
      <c r="M1207">
        <v>2033</v>
      </c>
      <c r="N1207" t="s">
        <v>47</v>
      </c>
      <c r="O1207" s="5">
        <f>DATE(Tabela1[[#This Row],[vigencia ano]],Tabela1[[#This Row],[vigencia mês]],Tabela1[[#This Row],[vigencia dia]])</f>
        <v>48860</v>
      </c>
    </row>
    <row r="1208" spans="1:15" x14ac:dyDescent="0.25">
      <c r="A1208" t="s">
        <v>41</v>
      </c>
      <c r="B1208" t="s">
        <v>4752</v>
      </c>
      <c r="C1208" s="1">
        <v>24990245000171</v>
      </c>
      <c r="D1208" t="s">
        <v>4753</v>
      </c>
      <c r="E1208" t="s">
        <v>4754</v>
      </c>
      <c r="F1208" t="s">
        <v>10</v>
      </c>
      <c r="G1208">
        <v>88702504</v>
      </c>
      <c r="H1208" t="s">
        <v>4755</v>
      </c>
      <c r="I1208" t="s">
        <v>4756</v>
      </c>
      <c r="J1208" t="s">
        <v>56</v>
      </c>
      <c r="K1208">
        <v>2</v>
      </c>
      <c r="L1208">
        <v>24</v>
      </c>
      <c r="M1208">
        <v>2032</v>
      </c>
      <c r="N1208" t="s">
        <v>47</v>
      </c>
      <c r="O1208" s="5">
        <f>DATE(Tabela1[[#This Row],[vigencia ano]],Tabela1[[#This Row],[vigencia mês]],Tabela1[[#This Row],[vigencia dia]])</f>
        <v>48915</v>
      </c>
    </row>
    <row r="1209" spans="1:15" x14ac:dyDescent="0.25">
      <c r="A1209" t="s">
        <v>41</v>
      </c>
      <c r="B1209" t="s">
        <v>4757</v>
      </c>
      <c r="C1209" s="1">
        <v>88081039000121</v>
      </c>
      <c r="D1209" t="s">
        <v>4758</v>
      </c>
      <c r="E1209" t="s">
        <v>4759</v>
      </c>
      <c r="F1209" t="s">
        <v>9</v>
      </c>
      <c r="G1209">
        <v>95700000</v>
      </c>
      <c r="H1209" t="s">
        <v>4760</v>
      </c>
      <c r="I1209" t="s">
        <v>4761</v>
      </c>
      <c r="J1209" t="s">
        <v>56</v>
      </c>
      <c r="K1209">
        <v>8</v>
      </c>
      <c r="L1209">
        <v>23</v>
      </c>
      <c r="M1209">
        <v>2015</v>
      </c>
      <c r="N1209" t="s">
        <v>47</v>
      </c>
      <c r="O1209" s="5">
        <f>DATE(Tabela1[[#This Row],[vigencia ano]],Tabela1[[#This Row],[vigencia mês]],Tabela1[[#This Row],[vigencia dia]])</f>
        <v>42682</v>
      </c>
    </row>
    <row r="1210" spans="1:15" x14ac:dyDescent="0.25">
      <c r="A1210" t="s">
        <v>41</v>
      </c>
      <c r="B1210" t="s">
        <v>4762</v>
      </c>
      <c r="C1210" s="1">
        <v>389587000172</v>
      </c>
      <c r="D1210" t="s">
        <v>4763</v>
      </c>
      <c r="E1210" t="s">
        <v>4759</v>
      </c>
      <c r="F1210" t="s">
        <v>9</v>
      </c>
      <c r="G1210">
        <v>95700000</v>
      </c>
      <c r="H1210" t="s">
        <v>4764</v>
      </c>
      <c r="I1210" t="s">
        <v>4765</v>
      </c>
      <c r="J1210" t="s">
        <v>46</v>
      </c>
      <c r="K1210">
        <v>4</v>
      </c>
      <c r="L1210">
        <v>19</v>
      </c>
      <c r="M1210">
        <v>2016</v>
      </c>
      <c r="N1210" t="s">
        <v>47</v>
      </c>
      <c r="O1210" s="5">
        <f>DATE(Tabela1[[#This Row],[vigencia ano]],Tabela1[[#This Row],[vigencia mês]],Tabela1[[#This Row],[vigencia dia]])</f>
        <v>42920</v>
      </c>
    </row>
    <row r="1211" spans="1:15" x14ac:dyDescent="0.25">
      <c r="A1211" t="s">
        <v>41</v>
      </c>
      <c r="B1211" t="s">
        <v>4766</v>
      </c>
      <c r="C1211" s="1">
        <v>94492899000150</v>
      </c>
      <c r="D1211" t="s">
        <v>4767</v>
      </c>
      <c r="E1211" t="s">
        <v>4768</v>
      </c>
      <c r="F1211" t="s">
        <v>9</v>
      </c>
      <c r="G1211">
        <v>94930000</v>
      </c>
      <c r="H1211" t="s">
        <v>4769</v>
      </c>
      <c r="I1211" t="s">
        <v>4770</v>
      </c>
      <c r="J1211" t="s">
        <v>46</v>
      </c>
      <c r="K1211">
        <v>3</v>
      </c>
      <c r="L1211">
        <v>26</v>
      </c>
      <c r="M1211">
        <v>2025</v>
      </c>
      <c r="N1211" t="s">
        <v>47</v>
      </c>
      <c r="O1211" s="5">
        <f>DATE(Tabela1[[#This Row],[vigencia ano]],Tabela1[[#This Row],[vigencia mês]],Tabela1[[#This Row],[vigencia dia]])</f>
        <v>46421</v>
      </c>
    </row>
    <row r="1212" spans="1:15" x14ac:dyDescent="0.25">
      <c r="A1212" t="s">
        <v>41</v>
      </c>
      <c r="B1212" t="s">
        <v>4771</v>
      </c>
      <c r="C1212" s="1">
        <v>94001641000104</v>
      </c>
      <c r="D1212" t="s">
        <v>4772</v>
      </c>
      <c r="E1212" t="s">
        <v>4768</v>
      </c>
      <c r="F1212" t="s">
        <v>9</v>
      </c>
      <c r="G1212">
        <v>94930615</v>
      </c>
      <c r="H1212" t="s">
        <v>4773</v>
      </c>
      <c r="I1212" t="s">
        <v>4774</v>
      </c>
      <c r="J1212" t="s">
        <v>56</v>
      </c>
      <c r="K1212">
        <v>1</v>
      </c>
      <c r="L1212">
        <v>23</v>
      </c>
      <c r="M1212">
        <v>2027</v>
      </c>
      <c r="N1212" t="s">
        <v>47</v>
      </c>
      <c r="O1212" s="5">
        <f>DATE(Tabela1[[#This Row],[vigencia ano]],Tabela1[[#This Row],[vigencia mês]],Tabela1[[#This Row],[vigencia dia]])</f>
        <v>47058</v>
      </c>
    </row>
    <row r="1213" spans="1:15" x14ac:dyDescent="0.25">
      <c r="A1213" t="s">
        <v>41</v>
      </c>
      <c r="B1213" t="s">
        <v>4775</v>
      </c>
      <c r="C1213" s="1">
        <v>28803365000173</v>
      </c>
      <c r="D1213" t="s">
        <v>4776</v>
      </c>
      <c r="E1213" t="s">
        <v>4768</v>
      </c>
      <c r="F1213" t="s">
        <v>9</v>
      </c>
      <c r="G1213">
        <v>94931001</v>
      </c>
      <c r="H1213" t="s">
        <v>4777</v>
      </c>
      <c r="I1213" t="s">
        <v>4778</v>
      </c>
      <c r="J1213" t="s">
        <v>56</v>
      </c>
      <c r="K1213">
        <v>8</v>
      </c>
      <c r="L1213">
        <v>21</v>
      </c>
      <c r="M1213">
        <v>2029</v>
      </c>
      <c r="N1213" t="s">
        <v>47</v>
      </c>
      <c r="O1213" s="5">
        <f>DATE(Tabela1[[#This Row],[vigencia ano]],Tabela1[[#This Row],[vigencia mês]],Tabela1[[#This Row],[vigencia dia]])</f>
        <v>47734</v>
      </c>
    </row>
    <row r="1214" spans="1:15" x14ac:dyDescent="0.25">
      <c r="A1214" t="s">
        <v>41</v>
      </c>
      <c r="B1214" t="s">
        <v>4779</v>
      </c>
      <c r="C1214" s="1">
        <v>7570588000168</v>
      </c>
      <c r="D1214" t="s">
        <v>4780</v>
      </c>
      <c r="E1214" t="s">
        <v>4768</v>
      </c>
      <c r="F1214" t="s">
        <v>9</v>
      </c>
      <c r="G1214">
        <v>94930000</v>
      </c>
      <c r="H1214" t="s">
        <v>4781</v>
      </c>
      <c r="I1214" t="s">
        <v>4782</v>
      </c>
      <c r="J1214" t="s">
        <v>56</v>
      </c>
      <c r="K1214">
        <v>1</v>
      </c>
      <c r="L1214">
        <v>3</v>
      </c>
      <c r="M1214">
        <v>2023</v>
      </c>
      <c r="N1214" t="s">
        <v>47</v>
      </c>
      <c r="O1214" s="5">
        <f>DATE(Tabela1[[#This Row],[vigencia ano]],Tabela1[[#This Row],[vigencia mês]],Tabela1[[#This Row],[vigencia dia]])</f>
        <v>44986</v>
      </c>
    </row>
    <row r="1215" spans="1:15" x14ac:dyDescent="0.25">
      <c r="A1215" t="s">
        <v>41</v>
      </c>
      <c r="B1215" t="s">
        <v>4783</v>
      </c>
      <c r="C1215" s="1">
        <v>92379726000103</v>
      </c>
      <c r="D1215" t="s">
        <v>4784</v>
      </c>
      <c r="E1215" t="s">
        <v>4768</v>
      </c>
      <c r="F1215" t="s">
        <v>9</v>
      </c>
      <c r="G1215">
        <v>94901970</v>
      </c>
      <c r="H1215" t="s">
        <v>4785</v>
      </c>
      <c r="I1215" t="s">
        <v>4786</v>
      </c>
      <c r="J1215" t="s">
        <v>46</v>
      </c>
      <c r="K1215">
        <v>8</v>
      </c>
      <c r="L1215">
        <v>21</v>
      </c>
      <c r="M1215">
        <v>2016</v>
      </c>
      <c r="N1215" t="s">
        <v>47</v>
      </c>
      <c r="O1215" s="5">
        <f>DATE(Tabela1[[#This Row],[vigencia ano]],Tabela1[[#This Row],[vigencia mês]],Tabela1[[#This Row],[vigencia dia]])</f>
        <v>42986</v>
      </c>
    </row>
    <row r="1216" spans="1:15" x14ac:dyDescent="0.25">
      <c r="A1216" t="s">
        <v>41</v>
      </c>
      <c r="B1216" t="s">
        <v>4783</v>
      </c>
      <c r="C1216" s="1">
        <v>92379726000103</v>
      </c>
      <c r="D1216" t="s">
        <v>4784</v>
      </c>
      <c r="E1216" t="s">
        <v>4768</v>
      </c>
      <c r="F1216" t="s">
        <v>9</v>
      </c>
      <c r="G1216">
        <v>94901970</v>
      </c>
      <c r="H1216" t="s">
        <v>4787</v>
      </c>
      <c r="I1216" t="s">
        <v>4786</v>
      </c>
      <c r="J1216" t="s">
        <v>46</v>
      </c>
      <c r="K1216">
        <v>8</v>
      </c>
      <c r="L1216">
        <v>21</v>
      </c>
      <c r="M1216">
        <v>2016</v>
      </c>
      <c r="N1216" t="s">
        <v>47</v>
      </c>
      <c r="O1216" s="5">
        <f>DATE(Tabela1[[#This Row],[vigencia ano]],Tabela1[[#This Row],[vigencia mês]],Tabela1[[#This Row],[vigencia dia]])</f>
        <v>42986</v>
      </c>
    </row>
    <row r="1217" spans="1:15" x14ac:dyDescent="0.25">
      <c r="A1217" t="s">
        <v>41</v>
      </c>
      <c r="B1217" t="s">
        <v>4788</v>
      </c>
      <c r="C1217" s="1">
        <v>13925723000143</v>
      </c>
      <c r="D1217" t="s">
        <v>4789</v>
      </c>
      <c r="E1217" t="s">
        <v>4790</v>
      </c>
      <c r="F1217" t="s">
        <v>9</v>
      </c>
      <c r="G1217">
        <v>93700000</v>
      </c>
      <c r="H1217" t="s">
        <v>4791</v>
      </c>
      <c r="I1217" t="s">
        <v>4792</v>
      </c>
      <c r="J1217" t="s">
        <v>56</v>
      </c>
      <c r="K1217">
        <v>1</v>
      </c>
      <c r="L1217">
        <v>29</v>
      </c>
      <c r="M1217">
        <v>2034</v>
      </c>
      <c r="N1217" t="s">
        <v>47</v>
      </c>
      <c r="O1217" s="5">
        <f>DATE(Tabela1[[#This Row],[vigencia ano]],Tabela1[[#This Row],[vigencia mês]],Tabela1[[#This Row],[vigencia dia]])</f>
        <v>49796</v>
      </c>
    </row>
    <row r="1218" spans="1:15" x14ac:dyDescent="0.25">
      <c r="A1218" t="s">
        <v>41</v>
      </c>
      <c r="B1218" t="s">
        <v>4793</v>
      </c>
      <c r="C1218" s="1">
        <v>41792167000110</v>
      </c>
      <c r="D1218" t="s">
        <v>4794</v>
      </c>
      <c r="E1218" t="s">
        <v>4790</v>
      </c>
      <c r="F1218" t="s">
        <v>9</v>
      </c>
      <c r="G1218">
        <v>93700000</v>
      </c>
      <c r="H1218" t="s">
        <v>367</v>
      </c>
      <c r="I1218" t="s">
        <v>4795</v>
      </c>
      <c r="J1218" t="s">
        <v>56</v>
      </c>
      <c r="K1218">
        <v>12</v>
      </c>
      <c r="L1218">
        <v>8</v>
      </c>
      <c r="M1218">
        <v>2031</v>
      </c>
      <c r="N1218" t="s">
        <v>47</v>
      </c>
      <c r="O1218" s="5">
        <f>DATE(Tabela1[[#This Row],[vigencia ano]],Tabela1[[#This Row],[vigencia mês]],Tabela1[[#This Row],[vigencia dia]])</f>
        <v>48072</v>
      </c>
    </row>
    <row r="1219" spans="1:15" x14ac:dyDescent="0.25">
      <c r="A1219" t="s">
        <v>41</v>
      </c>
      <c r="B1219" t="s">
        <v>4796</v>
      </c>
      <c r="C1219" s="1">
        <v>14307558000129</v>
      </c>
      <c r="D1219" t="s">
        <v>4797</v>
      </c>
      <c r="E1219" t="s">
        <v>4798</v>
      </c>
      <c r="F1219" t="s">
        <v>9</v>
      </c>
      <c r="G1219">
        <v>92200030</v>
      </c>
      <c r="H1219" t="s">
        <v>4799</v>
      </c>
      <c r="I1219" t="s">
        <v>4800</v>
      </c>
      <c r="J1219" t="s">
        <v>56</v>
      </c>
      <c r="K1219">
        <v>7</v>
      </c>
      <c r="L1219">
        <v>4</v>
      </c>
      <c r="M1219">
        <v>2026</v>
      </c>
      <c r="N1219" t="s">
        <v>47</v>
      </c>
      <c r="O1219" s="5">
        <f>DATE(Tabela1[[#This Row],[vigencia ano]],Tabela1[[#This Row],[vigencia mês]],Tabela1[[#This Row],[vigencia dia]])</f>
        <v>46119</v>
      </c>
    </row>
    <row r="1220" spans="1:15" x14ac:dyDescent="0.25">
      <c r="A1220" t="s">
        <v>41</v>
      </c>
      <c r="B1220" t="s">
        <v>4801</v>
      </c>
      <c r="C1220" s="1">
        <v>29677288000115</v>
      </c>
      <c r="D1220" t="s">
        <v>4802</v>
      </c>
      <c r="E1220" t="s">
        <v>4798</v>
      </c>
      <c r="F1220" t="s">
        <v>9</v>
      </c>
      <c r="G1220">
        <v>92323000</v>
      </c>
      <c r="H1220" t="s">
        <v>4803</v>
      </c>
      <c r="I1220" t="s">
        <v>4804</v>
      </c>
      <c r="J1220" t="s">
        <v>56</v>
      </c>
      <c r="K1220">
        <v>7</v>
      </c>
      <c r="L1220">
        <v>26</v>
      </c>
      <c r="M1220">
        <v>2032</v>
      </c>
      <c r="N1220" t="s">
        <v>47</v>
      </c>
      <c r="O1220" s="5">
        <f>DATE(Tabela1[[#This Row],[vigencia ano]],Tabela1[[#This Row],[vigencia mês]],Tabela1[[#This Row],[vigencia dia]])</f>
        <v>48982</v>
      </c>
    </row>
    <row r="1221" spans="1:15" x14ac:dyDescent="0.25">
      <c r="A1221" t="s">
        <v>41</v>
      </c>
      <c r="B1221" t="s">
        <v>4805</v>
      </c>
      <c r="C1221" s="1">
        <v>19875292000134</v>
      </c>
      <c r="D1221" t="s">
        <v>4806</v>
      </c>
      <c r="E1221" t="s">
        <v>4798</v>
      </c>
      <c r="F1221" t="s">
        <v>9</v>
      </c>
      <c r="G1221">
        <v>92320060</v>
      </c>
      <c r="H1221" t="s">
        <v>4807</v>
      </c>
      <c r="I1221" t="s">
        <v>4808</v>
      </c>
      <c r="J1221" t="s">
        <v>56</v>
      </c>
      <c r="K1221">
        <v>1</v>
      </c>
      <c r="L1221">
        <v>23</v>
      </c>
      <c r="M1221">
        <v>2028</v>
      </c>
      <c r="N1221" t="s">
        <v>47</v>
      </c>
      <c r="O1221" s="5">
        <f>DATE(Tabela1[[#This Row],[vigencia ano]],Tabela1[[#This Row],[vigencia mês]],Tabela1[[#This Row],[vigencia dia]])</f>
        <v>47423</v>
      </c>
    </row>
    <row r="1222" spans="1:15" x14ac:dyDescent="0.25">
      <c r="A1222" t="s">
        <v>41</v>
      </c>
      <c r="B1222" t="s">
        <v>4809</v>
      </c>
      <c r="C1222" s="1">
        <v>7407573000183</v>
      </c>
      <c r="D1222" t="s">
        <v>4810</v>
      </c>
      <c r="E1222" t="s">
        <v>4798</v>
      </c>
      <c r="F1222" t="s">
        <v>9</v>
      </c>
      <c r="G1222">
        <v>92120170</v>
      </c>
      <c r="H1222" t="s">
        <v>4811</v>
      </c>
      <c r="I1222" t="s">
        <v>4812</v>
      </c>
      <c r="J1222" t="s">
        <v>56</v>
      </c>
      <c r="K1222">
        <v>11</v>
      </c>
      <c r="L1222">
        <v>16</v>
      </c>
      <c r="M1222">
        <v>2031</v>
      </c>
      <c r="N1222" t="s">
        <v>47</v>
      </c>
      <c r="O1222" s="5">
        <f>DATE(Tabela1[[#This Row],[vigencia ano]],Tabela1[[#This Row],[vigencia mês]],Tabela1[[#This Row],[vigencia dia]])</f>
        <v>48315</v>
      </c>
    </row>
    <row r="1223" spans="1:15" x14ac:dyDescent="0.25">
      <c r="A1223" t="s">
        <v>41</v>
      </c>
      <c r="B1223" t="s">
        <v>4813</v>
      </c>
      <c r="C1223" s="1">
        <v>88009030000100</v>
      </c>
      <c r="D1223" t="s">
        <v>4814</v>
      </c>
      <c r="E1223" t="s">
        <v>4798</v>
      </c>
      <c r="F1223" t="s">
        <v>9</v>
      </c>
      <c r="G1223">
        <v>92030138</v>
      </c>
      <c r="H1223" t="s">
        <v>4815</v>
      </c>
      <c r="I1223" t="s">
        <v>4816</v>
      </c>
      <c r="J1223" t="s">
        <v>46</v>
      </c>
      <c r="K1223">
        <v>2</v>
      </c>
      <c r="L1223">
        <v>14</v>
      </c>
      <c r="M1223">
        <v>2022</v>
      </c>
      <c r="N1223" t="s">
        <v>47</v>
      </c>
      <c r="O1223" s="5">
        <f>DATE(Tabela1[[#This Row],[vigencia ano]],Tabela1[[#This Row],[vigencia mês]],Tabela1[[#This Row],[vigencia dia]])</f>
        <v>44959</v>
      </c>
    </row>
    <row r="1224" spans="1:15" x14ac:dyDescent="0.25">
      <c r="A1224" t="s">
        <v>41</v>
      </c>
      <c r="B1224" t="s">
        <v>4817</v>
      </c>
      <c r="C1224" s="1">
        <v>17112478000106</v>
      </c>
      <c r="D1224" t="s">
        <v>4818</v>
      </c>
      <c r="E1224" t="s">
        <v>4798</v>
      </c>
      <c r="F1224" t="s">
        <v>9</v>
      </c>
      <c r="G1224">
        <v>92120124</v>
      </c>
      <c r="H1224" t="s">
        <v>4819</v>
      </c>
      <c r="I1224" t="s">
        <v>4820</v>
      </c>
      <c r="J1224" t="s">
        <v>56</v>
      </c>
      <c r="K1224">
        <v>10</v>
      </c>
      <c r="L1224">
        <v>5</v>
      </c>
      <c r="M1224">
        <v>2027</v>
      </c>
      <c r="N1224" t="s">
        <v>47</v>
      </c>
      <c r="O1224" s="5">
        <f>DATE(Tabela1[[#This Row],[vigencia ano]],Tabela1[[#This Row],[vigencia mês]],Tabela1[[#This Row],[vigencia dia]])</f>
        <v>46517</v>
      </c>
    </row>
    <row r="1225" spans="1:15" x14ac:dyDescent="0.25">
      <c r="A1225" t="s">
        <v>41</v>
      </c>
      <c r="B1225" t="s">
        <v>4821</v>
      </c>
      <c r="C1225" s="1">
        <v>32734416000120</v>
      </c>
      <c r="D1225" t="s">
        <v>4822</v>
      </c>
      <c r="E1225" t="s">
        <v>4823</v>
      </c>
      <c r="F1225" t="s">
        <v>9</v>
      </c>
      <c r="G1225">
        <v>95020430</v>
      </c>
      <c r="H1225" t="s">
        <v>4824</v>
      </c>
      <c r="I1225" t="s">
        <v>4825</v>
      </c>
      <c r="J1225" t="s">
        <v>56</v>
      </c>
      <c r="K1225">
        <v>8</v>
      </c>
      <c r="L1225">
        <v>8</v>
      </c>
      <c r="M1225">
        <v>2032</v>
      </c>
      <c r="N1225" t="s">
        <v>47</v>
      </c>
      <c r="O1225" s="5">
        <f>DATE(Tabela1[[#This Row],[vigencia ano]],Tabela1[[#This Row],[vigencia mês]],Tabela1[[#This Row],[vigencia dia]])</f>
        <v>48434</v>
      </c>
    </row>
    <row r="1226" spans="1:15" x14ac:dyDescent="0.25">
      <c r="A1226" t="s">
        <v>41</v>
      </c>
      <c r="B1226" t="s">
        <v>4826</v>
      </c>
      <c r="C1226" s="1">
        <v>90300583000169</v>
      </c>
      <c r="D1226" t="s">
        <v>4827</v>
      </c>
      <c r="E1226" t="s">
        <v>4823</v>
      </c>
      <c r="F1226" t="s">
        <v>9</v>
      </c>
      <c r="G1226">
        <v>95055123</v>
      </c>
      <c r="H1226" t="s">
        <v>4828</v>
      </c>
      <c r="I1226" t="s">
        <v>4829</v>
      </c>
      <c r="J1226" t="s">
        <v>46</v>
      </c>
      <c r="K1226">
        <v>11</v>
      </c>
      <c r="L1226">
        <v>16</v>
      </c>
      <c r="M1226">
        <v>2016</v>
      </c>
      <c r="N1226" t="s">
        <v>47</v>
      </c>
      <c r="O1226" s="5">
        <f>DATE(Tabela1[[#This Row],[vigencia ano]],Tabela1[[#This Row],[vigencia mês]],Tabela1[[#This Row],[vigencia dia]])</f>
        <v>42836</v>
      </c>
    </row>
    <row r="1227" spans="1:15" x14ac:dyDescent="0.25">
      <c r="A1227" t="s">
        <v>41</v>
      </c>
      <c r="B1227" t="s">
        <v>4830</v>
      </c>
      <c r="C1227" s="1">
        <v>89823918000144</v>
      </c>
      <c r="D1227" t="s">
        <v>4831</v>
      </c>
      <c r="E1227" t="s">
        <v>4823</v>
      </c>
      <c r="F1227" t="s">
        <v>9</v>
      </c>
      <c r="G1227">
        <v>95112140</v>
      </c>
      <c r="H1227" t="s">
        <v>4832</v>
      </c>
      <c r="I1227" t="s">
        <v>4833</v>
      </c>
      <c r="J1227" t="s">
        <v>56</v>
      </c>
      <c r="K1227">
        <v>11</v>
      </c>
      <c r="L1227">
        <v>16</v>
      </c>
      <c r="M1227">
        <v>2033</v>
      </c>
      <c r="N1227" t="s">
        <v>47</v>
      </c>
      <c r="O1227" s="5">
        <f>DATE(Tabela1[[#This Row],[vigencia ano]],Tabela1[[#This Row],[vigencia mês]],Tabela1[[#This Row],[vigencia dia]])</f>
        <v>49045</v>
      </c>
    </row>
    <row r="1228" spans="1:15" x14ac:dyDescent="0.25">
      <c r="A1228" t="s">
        <v>41</v>
      </c>
      <c r="B1228" t="s">
        <v>4834</v>
      </c>
      <c r="C1228" s="1">
        <v>7348003000160</v>
      </c>
      <c r="D1228" t="s">
        <v>4835</v>
      </c>
      <c r="E1228" t="s">
        <v>4823</v>
      </c>
      <c r="F1228" t="s">
        <v>9</v>
      </c>
      <c r="G1228">
        <v>95032620</v>
      </c>
      <c r="H1228" t="s">
        <v>4836</v>
      </c>
      <c r="I1228" t="s">
        <v>4837</v>
      </c>
      <c r="J1228" t="s">
        <v>56</v>
      </c>
      <c r="K1228">
        <v>2</v>
      </c>
      <c r="L1228">
        <v>17</v>
      </c>
      <c r="M1228">
        <v>2027</v>
      </c>
      <c r="N1228" t="s">
        <v>47</v>
      </c>
      <c r="O1228" s="5">
        <f>DATE(Tabela1[[#This Row],[vigencia ano]],Tabela1[[#This Row],[vigencia mês]],Tabela1[[#This Row],[vigencia dia]])</f>
        <v>46875</v>
      </c>
    </row>
    <row r="1229" spans="1:15" x14ac:dyDescent="0.25">
      <c r="A1229" t="s">
        <v>41</v>
      </c>
      <c r="B1229" t="s">
        <v>4838</v>
      </c>
      <c r="C1229" s="1">
        <v>31332777000187</v>
      </c>
      <c r="D1229" t="s">
        <v>4839</v>
      </c>
      <c r="E1229" t="s">
        <v>4823</v>
      </c>
      <c r="F1229" t="s">
        <v>9</v>
      </c>
      <c r="G1229">
        <v>95074000</v>
      </c>
      <c r="H1229" t="s">
        <v>4840</v>
      </c>
      <c r="I1229" t="s">
        <v>4841</v>
      </c>
      <c r="J1229" t="s">
        <v>56</v>
      </c>
      <c r="K1229">
        <v>4</v>
      </c>
      <c r="L1229">
        <v>18</v>
      </c>
      <c r="M1229">
        <v>2029</v>
      </c>
      <c r="N1229" t="s">
        <v>47</v>
      </c>
      <c r="O1229" s="5">
        <f>DATE(Tabela1[[#This Row],[vigencia ano]],Tabela1[[#This Row],[vigencia mês]],Tabela1[[#This Row],[vigencia dia]])</f>
        <v>47638</v>
      </c>
    </row>
    <row r="1230" spans="1:15" x14ac:dyDescent="0.25">
      <c r="A1230" t="s">
        <v>41</v>
      </c>
      <c r="B1230" t="s">
        <v>4842</v>
      </c>
      <c r="C1230" s="1">
        <v>10865872000176</v>
      </c>
      <c r="D1230" t="s">
        <v>4843</v>
      </c>
      <c r="E1230" t="s">
        <v>4823</v>
      </c>
      <c r="F1230" t="s">
        <v>9</v>
      </c>
      <c r="G1230">
        <v>95072410</v>
      </c>
      <c r="H1230" t="s">
        <v>4844</v>
      </c>
      <c r="I1230" t="s">
        <v>4845</v>
      </c>
      <c r="J1230" t="s">
        <v>56</v>
      </c>
      <c r="K1230">
        <v>11</v>
      </c>
      <c r="L1230">
        <v>12</v>
      </c>
      <c r="M1230">
        <v>2034</v>
      </c>
      <c r="N1230" t="s">
        <v>47</v>
      </c>
      <c r="O1230" s="5">
        <f>DATE(Tabela1[[#This Row],[vigencia ano]],Tabela1[[#This Row],[vigencia mês]],Tabela1[[#This Row],[vigencia dia]])</f>
        <v>49289</v>
      </c>
    </row>
    <row r="1231" spans="1:15" x14ac:dyDescent="0.25">
      <c r="A1231" t="s">
        <v>41</v>
      </c>
      <c r="B1231" t="s">
        <v>4846</v>
      </c>
      <c r="C1231" s="1">
        <v>2463394000140</v>
      </c>
      <c r="D1231" t="s">
        <v>4847</v>
      </c>
      <c r="E1231" t="s">
        <v>4823</v>
      </c>
      <c r="F1231" t="s">
        <v>9</v>
      </c>
      <c r="G1231">
        <v>95042010</v>
      </c>
      <c r="H1231" t="s">
        <v>4848</v>
      </c>
      <c r="I1231" t="s">
        <v>4849</v>
      </c>
      <c r="J1231" t="s">
        <v>56</v>
      </c>
      <c r="K1231">
        <v>10</v>
      </c>
      <c r="L1231">
        <v>31</v>
      </c>
      <c r="M1231">
        <v>2035</v>
      </c>
      <c r="N1231" t="s">
        <v>4850</v>
      </c>
      <c r="O1231" s="5">
        <f>DATE(Tabela1[[#This Row],[vigencia ano]],Tabela1[[#This Row],[vigencia mês]],Tabela1[[#This Row],[vigencia dia]])</f>
        <v>50231</v>
      </c>
    </row>
    <row r="1232" spans="1:15" x14ac:dyDescent="0.25">
      <c r="A1232" t="s">
        <v>41</v>
      </c>
      <c r="B1232" t="s">
        <v>4851</v>
      </c>
      <c r="C1232" s="1">
        <v>702501000110</v>
      </c>
      <c r="D1232" t="s">
        <v>4852</v>
      </c>
      <c r="E1232" t="s">
        <v>4823</v>
      </c>
      <c r="F1232" t="s">
        <v>9</v>
      </c>
      <c r="G1232">
        <v>95030320</v>
      </c>
      <c r="H1232" t="s">
        <v>4853</v>
      </c>
      <c r="I1232" t="s">
        <v>4854</v>
      </c>
      <c r="J1232" t="s">
        <v>56</v>
      </c>
      <c r="K1232">
        <v>12</v>
      </c>
      <c r="L1232">
        <v>6</v>
      </c>
      <c r="M1232">
        <v>2027</v>
      </c>
      <c r="N1232" t="s">
        <v>47</v>
      </c>
      <c r="O1232" s="5">
        <f>DATE(Tabela1[[#This Row],[vigencia ano]],Tabela1[[#This Row],[vigencia mês]],Tabela1[[#This Row],[vigencia dia]])</f>
        <v>46550</v>
      </c>
    </row>
    <row r="1233" spans="1:15" x14ac:dyDescent="0.25">
      <c r="A1233" t="s">
        <v>41</v>
      </c>
      <c r="B1233" t="s">
        <v>4855</v>
      </c>
      <c r="C1233" s="1">
        <v>26091064000139</v>
      </c>
      <c r="D1233" t="s">
        <v>4856</v>
      </c>
      <c r="E1233" t="s">
        <v>4823</v>
      </c>
      <c r="F1233" t="s">
        <v>9</v>
      </c>
      <c r="G1233">
        <v>95012320</v>
      </c>
      <c r="H1233" t="s">
        <v>4857</v>
      </c>
      <c r="I1233" t="s">
        <v>4858</v>
      </c>
      <c r="J1233" t="s">
        <v>56</v>
      </c>
      <c r="K1233">
        <v>7</v>
      </c>
      <c r="L1233">
        <v>13</v>
      </c>
      <c r="M1233">
        <v>2036</v>
      </c>
      <c r="N1233" t="s">
        <v>4859</v>
      </c>
      <c r="O1233" s="5">
        <f>DATE(Tabela1[[#This Row],[vigencia ano]],Tabela1[[#This Row],[vigencia mês]],Tabela1[[#This Row],[vigencia dia]])</f>
        <v>50047</v>
      </c>
    </row>
    <row r="1234" spans="1:15" x14ac:dyDescent="0.25">
      <c r="A1234" t="s">
        <v>41</v>
      </c>
      <c r="B1234" t="s">
        <v>4860</v>
      </c>
      <c r="C1234" s="1">
        <v>34168068000104</v>
      </c>
      <c r="D1234" t="s">
        <v>4861</v>
      </c>
      <c r="E1234" t="s">
        <v>4823</v>
      </c>
      <c r="F1234" t="s">
        <v>9</v>
      </c>
      <c r="G1234">
        <v>95020360</v>
      </c>
      <c r="H1234" t="s">
        <v>4862</v>
      </c>
      <c r="I1234" t="s">
        <v>4863</v>
      </c>
      <c r="J1234" t="s">
        <v>56</v>
      </c>
      <c r="K1234">
        <v>3</v>
      </c>
      <c r="L1234">
        <v>15</v>
      </c>
      <c r="M1234">
        <v>2033</v>
      </c>
      <c r="N1234" t="s">
        <v>47</v>
      </c>
      <c r="O1234" s="5">
        <f>DATE(Tabela1[[#This Row],[vigencia ano]],Tabela1[[#This Row],[vigencia mês]],Tabela1[[#This Row],[vigencia dia]])</f>
        <v>49006</v>
      </c>
    </row>
    <row r="1235" spans="1:15" x14ac:dyDescent="0.25">
      <c r="A1235" t="s">
        <v>41</v>
      </c>
      <c r="B1235" t="s">
        <v>4864</v>
      </c>
      <c r="C1235" s="1">
        <v>7784967000150</v>
      </c>
      <c r="D1235" t="s">
        <v>4865</v>
      </c>
      <c r="E1235" t="s">
        <v>4823</v>
      </c>
      <c r="F1235" t="s">
        <v>9</v>
      </c>
      <c r="G1235">
        <v>95052130</v>
      </c>
      <c r="H1235" t="s">
        <v>4866</v>
      </c>
      <c r="I1235" t="s">
        <v>4867</v>
      </c>
      <c r="J1235" t="s">
        <v>46</v>
      </c>
      <c r="K1235">
        <v>10</v>
      </c>
      <c r="L1235">
        <v>19</v>
      </c>
      <c r="M1235">
        <v>2026</v>
      </c>
      <c r="N1235" t="s">
        <v>47</v>
      </c>
      <c r="O1235" s="5">
        <f>DATE(Tabela1[[#This Row],[vigencia ano]],Tabela1[[#This Row],[vigencia mês]],Tabela1[[#This Row],[vigencia dia]])</f>
        <v>46578</v>
      </c>
    </row>
    <row r="1236" spans="1:15" x14ac:dyDescent="0.25">
      <c r="A1236" t="s">
        <v>41</v>
      </c>
      <c r="B1236" t="s">
        <v>4864</v>
      </c>
      <c r="C1236" s="1">
        <v>7784967000150</v>
      </c>
      <c r="D1236" t="s">
        <v>4865</v>
      </c>
      <c r="E1236" t="s">
        <v>4823</v>
      </c>
      <c r="F1236" t="s">
        <v>9</v>
      </c>
      <c r="G1236">
        <v>95052130</v>
      </c>
      <c r="H1236" t="s">
        <v>4868</v>
      </c>
      <c r="I1236" t="s">
        <v>4867</v>
      </c>
      <c r="J1236" t="s">
        <v>46</v>
      </c>
      <c r="K1236">
        <v>10</v>
      </c>
      <c r="L1236">
        <v>19</v>
      </c>
      <c r="M1236">
        <v>2026</v>
      </c>
      <c r="N1236" t="s">
        <v>47</v>
      </c>
      <c r="O1236" s="5">
        <f>DATE(Tabela1[[#This Row],[vigencia ano]],Tabela1[[#This Row],[vigencia mês]],Tabela1[[#This Row],[vigencia dia]])</f>
        <v>46578</v>
      </c>
    </row>
    <row r="1237" spans="1:15" x14ac:dyDescent="0.25">
      <c r="A1237" t="s">
        <v>41</v>
      </c>
      <c r="B1237" t="s">
        <v>4869</v>
      </c>
      <c r="C1237" s="1">
        <v>22086483000121</v>
      </c>
      <c r="D1237" t="s">
        <v>4870</v>
      </c>
      <c r="E1237" t="s">
        <v>4823</v>
      </c>
      <c r="F1237" t="s">
        <v>9</v>
      </c>
      <c r="G1237">
        <v>95041220</v>
      </c>
      <c r="H1237" t="s">
        <v>4871</v>
      </c>
      <c r="I1237" t="s">
        <v>4872</v>
      </c>
      <c r="J1237" t="s">
        <v>56</v>
      </c>
      <c r="K1237">
        <v>2</v>
      </c>
      <c r="L1237">
        <v>18</v>
      </c>
      <c r="M1237">
        <v>2032</v>
      </c>
      <c r="N1237" t="s">
        <v>47</v>
      </c>
      <c r="O1237" s="5">
        <f>DATE(Tabela1[[#This Row],[vigencia ano]],Tabela1[[#This Row],[vigencia mês]],Tabela1[[#This Row],[vigencia dia]])</f>
        <v>48732</v>
      </c>
    </row>
    <row r="1238" spans="1:15" x14ac:dyDescent="0.25">
      <c r="A1238" t="s">
        <v>41</v>
      </c>
      <c r="B1238" t="s">
        <v>4873</v>
      </c>
      <c r="C1238" s="1">
        <v>25144020000167</v>
      </c>
      <c r="D1238" t="s">
        <v>4874</v>
      </c>
      <c r="E1238" t="s">
        <v>4823</v>
      </c>
      <c r="F1238" t="s">
        <v>9</v>
      </c>
      <c r="G1238">
        <v>95042750</v>
      </c>
      <c r="H1238" t="s">
        <v>4875</v>
      </c>
      <c r="I1238" t="s">
        <v>4876</v>
      </c>
      <c r="J1238" t="s">
        <v>56</v>
      </c>
      <c r="K1238">
        <v>5</v>
      </c>
      <c r="L1238">
        <v>15</v>
      </c>
      <c r="M1238">
        <v>2030</v>
      </c>
      <c r="N1238" t="s">
        <v>47</v>
      </c>
      <c r="O1238" s="5">
        <f>DATE(Tabela1[[#This Row],[vigencia ano]],Tabela1[[#This Row],[vigencia mês]],Tabela1[[#This Row],[vigencia dia]])</f>
        <v>47912</v>
      </c>
    </row>
    <row r="1239" spans="1:15" x14ac:dyDescent="0.25">
      <c r="A1239" t="s">
        <v>41</v>
      </c>
      <c r="B1239" t="s">
        <v>4877</v>
      </c>
      <c r="C1239" s="1">
        <v>29801009000183</v>
      </c>
      <c r="D1239" t="s">
        <v>4878</v>
      </c>
      <c r="E1239" t="s">
        <v>4823</v>
      </c>
      <c r="F1239" t="s">
        <v>9</v>
      </c>
      <c r="G1239">
        <v>95112070</v>
      </c>
      <c r="H1239" t="s">
        <v>4879</v>
      </c>
      <c r="I1239" t="s">
        <v>4880</v>
      </c>
      <c r="J1239" t="s">
        <v>56</v>
      </c>
      <c r="K1239">
        <v>6</v>
      </c>
      <c r="L1239">
        <v>15</v>
      </c>
      <c r="M1239">
        <v>2032</v>
      </c>
      <c r="N1239" t="s">
        <v>47</v>
      </c>
      <c r="O1239" s="5">
        <f>DATE(Tabela1[[#This Row],[vigencia ano]],Tabela1[[#This Row],[vigencia mês]],Tabela1[[#This Row],[vigencia dia]])</f>
        <v>48644</v>
      </c>
    </row>
    <row r="1240" spans="1:15" x14ac:dyDescent="0.25">
      <c r="A1240" t="s">
        <v>41</v>
      </c>
      <c r="B1240" t="s">
        <v>4881</v>
      </c>
      <c r="C1240" s="1">
        <v>89154041000146</v>
      </c>
      <c r="D1240" t="s">
        <v>4882</v>
      </c>
      <c r="E1240" t="s">
        <v>4883</v>
      </c>
      <c r="F1240" t="s">
        <v>9</v>
      </c>
      <c r="G1240">
        <v>92990000</v>
      </c>
      <c r="H1240" t="s">
        <v>4884</v>
      </c>
      <c r="I1240" t="s">
        <v>4885</v>
      </c>
      <c r="J1240" t="s">
        <v>46</v>
      </c>
      <c r="K1240">
        <v>7</v>
      </c>
      <c r="L1240">
        <v>12</v>
      </c>
      <c r="M1240">
        <v>2015</v>
      </c>
      <c r="N1240" t="s">
        <v>47</v>
      </c>
      <c r="O1240" s="5">
        <f>DATE(Tabela1[[#This Row],[vigencia ano]],Tabela1[[#This Row],[vigencia mês]],Tabela1[[#This Row],[vigencia dia]])</f>
        <v>42345</v>
      </c>
    </row>
    <row r="1241" spans="1:15" x14ac:dyDescent="0.25">
      <c r="A1241" t="s">
        <v>41</v>
      </c>
      <c r="B1241" t="s">
        <v>4886</v>
      </c>
      <c r="C1241" s="1">
        <v>8490703000157</v>
      </c>
      <c r="D1241" t="s">
        <v>4887</v>
      </c>
      <c r="E1241" t="s">
        <v>4888</v>
      </c>
      <c r="F1241" t="s">
        <v>9</v>
      </c>
      <c r="G1241">
        <v>93265150</v>
      </c>
      <c r="H1241" t="s">
        <v>4889</v>
      </c>
      <c r="I1241" t="s">
        <v>4890</v>
      </c>
      <c r="J1241" t="s">
        <v>46</v>
      </c>
      <c r="K1241">
        <v>12</v>
      </c>
      <c r="L1241">
        <v>30</v>
      </c>
      <c r="M1241">
        <v>2034</v>
      </c>
      <c r="N1241" t="s">
        <v>47</v>
      </c>
      <c r="O1241" s="5">
        <f>DATE(Tabela1[[#This Row],[vigencia ano]],Tabela1[[#This Row],[vigencia mês]],Tabela1[[#This Row],[vigencia dia]])</f>
        <v>49838</v>
      </c>
    </row>
    <row r="1242" spans="1:15" x14ac:dyDescent="0.25">
      <c r="A1242" t="s">
        <v>41</v>
      </c>
      <c r="B1242" t="s">
        <v>4886</v>
      </c>
      <c r="C1242" s="1">
        <v>8490703000157</v>
      </c>
      <c r="D1242" t="s">
        <v>4887</v>
      </c>
      <c r="E1242" t="s">
        <v>4888</v>
      </c>
      <c r="F1242" t="s">
        <v>9</v>
      </c>
      <c r="G1242">
        <v>93265150</v>
      </c>
      <c r="H1242" t="s">
        <v>2074</v>
      </c>
      <c r="I1242" t="s">
        <v>4890</v>
      </c>
      <c r="J1242" t="s">
        <v>46</v>
      </c>
      <c r="K1242">
        <v>12</v>
      </c>
      <c r="L1242">
        <v>30</v>
      </c>
      <c r="M1242">
        <v>2034</v>
      </c>
      <c r="N1242" t="s">
        <v>47</v>
      </c>
      <c r="O1242" s="5">
        <f>DATE(Tabela1[[#This Row],[vigencia ano]],Tabela1[[#This Row],[vigencia mês]],Tabela1[[#This Row],[vigencia dia]])</f>
        <v>49838</v>
      </c>
    </row>
    <row r="1243" spans="1:15" x14ac:dyDescent="0.25">
      <c r="A1243" t="s">
        <v>41</v>
      </c>
      <c r="B1243" t="s">
        <v>4891</v>
      </c>
      <c r="C1243" s="1">
        <v>3471254000186</v>
      </c>
      <c r="D1243" t="s">
        <v>4892</v>
      </c>
      <c r="E1243" t="s">
        <v>4893</v>
      </c>
      <c r="F1243" t="s">
        <v>9</v>
      </c>
      <c r="G1243">
        <v>95180000</v>
      </c>
      <c r="H1243" t="s">
        <v>4894</v>
      </c>
      <c r="I1243" t="s">
        <v>4895</v>
      </c>
      <c r="J1243" t="s">
        <v>56</v>
      </c>
      <c r="K1243">
        <v>6</v>
      </c>
      <c r="L1243">
        <v>22</v>
      </c>
      <c r="M1243">
        <v>2026</v>
      </c>
      <c r="N1243" t="s">
        <v>47</v>
      </c>
      <c r="O1243" s="5">
        <f>DATE(Tabela1[[#This Row],[vigencia ano]],Tabela1[[#This Row],[vigencia mês]],Tabela1[[#This Row],[vigencia dia]])</f>
        <v>46666</v>
      </c>
    </row>
    <row r="1244" spans="1:15" x14ac:dyDescent="0.25">
      <c r="A1244" t="s">
        <v>41</v>
      </c>
      <c r="B1244" t="s">
        <v>4896</v>
      </c>
      <c r="C1244" s="1">
        <v>13091403000135</v>
      </c>
      <c r="D1244" t="s">
        <v>4897</v>
      </c>
      <c r="E1244" t="s">
        <v>4893</v>
      </c>
      <c r="F1244" t="s">
        <v>9</v>
      </c>
      <c r="G1244">
        <v>95182000</v>
      </c>
      <c r="H1244" t="s">
        <v>4898</v>
      </c>
      <c r="I1244" t="s">
        <v>4899</v>
      </c>
      <c r="J1244" t="s">
        <v>56</v>
      </c>
      <c r="K1244">
        <v>9</v>
      </c>
      <c r="L1244">
        <v>20</v>
      </c>
      <c r="M1244">
        <v>2032</v>
      </c>
      <c r="N1244" t="s">
        <v>47</v>
      </c>
      <c r="O1244" s="5">
        <f>DATE(Tabela1[[#This Row],[vigencia ano]],Tabela1[[#This Row],[vigencia mês]],Tabela1[[#This Row],[vigencia dia]])</f>
        <v>48800</v>
      </c>
    </row>
    <row r="1245" spans="1:15" x14ac:dyDescent="0.25">
      <c r="A1245" t="s">
        <v>41</v>
      </c>
      <c r="B1245" t="s">
        <v>4900</v>
      </c>
      <c r="C1245" s="1">
        <v>88085485000104</v>
      </c>
      <c r="D1245" t="s">
        <v>4901</v>
      </c>
      <c r="E1245" t="s">
        <v>4893</v>
      </c>
      <c r="F1245" t="s">
        <v>9</v>
      </c>
      <c r="G1245">
        <v>95180000</v>
      </c>
      <c r="I1245" t="s">
        <v>4902</v>
      </c>
      <c r="J1245" t="s">
        <v>56</v>
      </c>
      <c r="K1245">
        <v>6</v>
      </c>
      <c r="L1245">
        <v>26</v>
      </c>
      <c r="M1245">
        <v>2016</v>
      </c>
      <c r="N1245" t="s">
        <v>47</v>
      </c>
      <c r="O1245" s="5">
        <f>DATE(Tabela1[[#This Row],[vigencia ano]],Tabela1[[#This Row],[vigencia mês]],Tabela1[[#This Row],[vigencia dia]])</f>
        <v>43137</v>
      </c>
    </row>
    <row r="1246" spans="1:15" x14ac:dyDescent="0.25">
      <c r="A1246" t="s">
        <v>41</v>
      </c>
      <c r="B1246" t="s">
        <v>4903</v>
      </c>
      <c r="C1246" s="1">
        <v>93561108000134</v>
      </c>
      <c r="D1246" t="s">
        <v>4904</v>
      </c>
      <c r="E1246" t="s">
        <v>4905</v>
      </c>
      <c r="F1246" t="s">
        <v>9</v>
      </c>
      <c r="G1246">
        <v>95720000</v>
      </c>
      <c r="H1246" t="s">
        <v>4906</v>
      </c>
      <c r="I1246" t="s">
        <v>4907</v>
      </c>
      <c r="J1246" t="s">
        <v>56</v>
      </c>
      <c r="K1246">
        <v>8</v>
      </c>
      <c r="L1246">
        <v>13</v>
      </c>
      <c r="M1246">
        <v>2030</v>
      </c>
      <c r="N1246" t="s">
        <v>47</v>
      </c>
      <c r="O1246" s="5">
        <f>DATE(Tabela1[[#This Row],[vigencia ano]],Tabela1[[#This Row],[vigencia mês]],Tabela1[[#This Row],[vigencia dia]])</f>
        <v>47856</v>
      </c>
    </row>
    <row r="1247" spans="1:15" x14ac:dyDescent="0.25">
      <c r="A1247" t="s">
        <v>41</v>
      </c>
      <c r="B1247" t="s">
        <v>4908</v>
      </c>
      <c r="C1247" s="1">
        <v>6208105000117</v>
      </c>
      <c r="D1247" t="s">
        <v>4909</v>
      </c>
      <c r="E1247" t="s">
        <v>4910</v>
      </c>
      <c r="F1247" t="s">
        <v>9</v>
      </c>
      <c r="G1247">
        <v>98920000</v>
      </c>
      <c r="H1247" t="s">
        <v>4911</v>
      </c>
      <c r="I1247" t="s">
        <v>4912</v>
      </c>
      <c r="J1247" t="s">
        <v>46</v>
      </c>
      <c r="K1247">
        <v>2</v>
      </c>
      <c r="L1247">
        <v>25</v>
      </c>
      <c r="M1247">
        <v>2035</v>
      </c>
      <c r="N1247" t="s">
        <v>4913</v>
      </c>
      <c r="O1247" s="5">
        <f>DATE(Tabela1[[#This Row],[vigencia ano]],Tabela1[[#This Row],[vigencia mês]],Tabela1[[#This Row],[vigencia dia]])</f>
        <v>50042</v>
      </c>
    </row>
    <row r="1248" spans="1:15" x14ac:dyDescent="0.25">
      <c r="A1248" t="s">
        <v>41</v>
      </c>
      <c r="B1248" t="s">
        <v>4914</v>
      </c>
      <c r="C1248" s="1">
        <v>7902228000116</v>
      </c>
      <c r="D1248" t="s">
        <v>4915</v>
      </c>
      <c r="E1248" t="s">
        <v>4910</v>
      </c>
      <c r="F1248" t="s">
        <v>9</v>
      </c>
      <c r="G1248">
        <v>98920000</v>
      </c>
      <c r="H1248" t="s">
        <v>4916</v>
      </c>
      <c r="I1248" t="s">
        <v>4917</v>
      </c>
      <c r="J1248" t="s">
        <v>56</v>
      </c>
      <c r="K1248">
        <v>3</v>
      </c>
      <c r="L1248">
        <v>18</v>
      </c>
      <c r="M1248">
        <v>2030</v>
      </c>
      <c r="N1248" t="s">
        <v>47</v>
      </c>
      <c r="O1248" s="5">
        <f>DATE(Tabela1[[#This Row],[vigencia ano]],Tabela1[[#This Row],[vigencia mês]],Tabela1[[#This Row],[vigencia dia]])</f>
        <v>48002</v>
      </c>
    </row>
    <row r="1249" spans="1:15" x14ac:dyDescent="0.25">
      <c r="A1249" t="s">
        <v>41</v>
      </c>
      <c r="B1249" t="s">
        <v>4918</v>
      </c>
      <c r="C1249" s="1">
        <v>22938787000170</v>
      </c>
      <c r="D1249" t="s">
        <v>4919</v>
      </c>
      <c r="E1249" t="s">
        <v>4920</v>
      </c>
      <c r="F1249" t="s">
        <v>9</v>
      </c>
      <c r="G1249">
        <v>95910160</v>
      </c>
      <c r="H1249" t="s">
        <v>4921</v>
      </c>
      <c r="I1249" t="s">
        <v>4922</v>
      </c>
      <c r="J1249" t="s">
        <v>56</v>
      </c>
      <c r="K1249">
        <v>9</v>
      </c>
      <c r="L1249">
        <v>11</v>
      </c>
      <c r="M1249">
        <v>2033</v>
      </c>
      <c r="N1249" t="s">
        <v>47</v>
      </c>
      <c r="O1249" s="5">
        <f>DATE(Tabela1[[#This Row],[vigencia ano]],Tabela1[[#This Row],[vigencia mês]],Tabela1[[#This Row],[vigencia dia]])</f>
        <v>48892</v>
      </c>
    </row>
    <row r="1250" spans="1:15" x14ac:dyDescent="0.25">
      <c r="A1250" t="s">
        <v>41</v>
      </c>
      <c r="B1250" t="s">
        <v>4923</v>
      </c>
      <c r="C1250" s="1">
        <v>11274148000130</v>
      </c>
      <c r="D1250" t="s">
        <v>4924</v>
      </c>
      <c r="E1250" t="s">
        <v>4925</v>
      </c>
      <c r="F1250" t="s">
        <v>9</v>
      </c>
      <c r="G1250">
        <v>93940000</v>
      </c>
      <c r="H1250" t="s">
        <v>4926</v>
      </c>
      <c r="I1250" t="s">
        <v>4927</v>
      </c>
      <c r="J1250" t="s">
        <v>56</v>
      </c>
      <c r="K1250">
        <v>7</v>
      </c>
      <c r="L1250">
        <v>30</v>
      </c>
      <c r="M1250">
        <v>2030</v>
      </c>
      <c r="N1250" t="s">
        <v>47</v>
      </c>
      <c r="O1250" s="5">
        <f>DATE(Tabela1[[#This Row],[vigencia ano]],Tabela1[[#This Row],[vigencia mês]],Tabela1[[#This Row],[vigencia dia]])</f>
        <v>48372</v>
      </c>
    </row>
    <row r="1251" spans="1:15" x14ac:dyDescent="0.25">
      <c r="A1251" t="s">
        <v>41</v>
      </c>
      <c r="B1251" t="s">
        <v>4928</v>
      </c>
      <c r="C1251" s="1">
        <v>23815200000106</v>
      </c>
      <c r="D1251" t="s">
        <v>4929</v>
      </c>
      <c r="E1251" t="s">
        <v>4930</v>
      </c>
      <c r="F1251" t="s">
        <v>9</v>
      </c>
      <c r="G1251">
        <v>95529899</v>
      </c>
      <c r="H1251" t="s">
        <v>4931</v>
      </c>
      <c r="I1251" t="s">
        <v>4932</v>
      </c>
      <c r="J1251" t="s">
        <v>56</v>
      </c>
      <c r="K1251">
        <v>11</v>
      </c>
      <c r="L1251">
        <v>6</v>
      </c>
      <c r="M1251">
        <v>2033</v>
      </c>
      <c r="N1251" t="s">
        <v>47</v>
      </c>
      <c r="O1251" s="5">
        <f>DATE(Tabela1[[#This Row],[vigencia ano]],Tabela1[[#This Row],[vigencia mês]],Tabela1[[#This Row],[vigencia dia]])</f>
        <v>48741</v>
      </c>
    </row>
    <row r="1252" spans="1:15" x14ac:dyDescent="0.25">
      <c r="A1252" t="s">
        <v>41</v>
      </c>
      <c r="B1252" t="s">
        <v>4933</v>
      </c>
      <c r="C1252" s="1">
        <v>9031864000145</v>
      </c>
      <c r="D1252" t="s">
        <v>4934</v>
      </c>
      <c r="E1252" t="s">
        <v>4935</v>
      </c>
      <c r="F1252" t="s">
        <v>9</v>
      </c>
      <c r="G1252">
        <v>93344260</v>
      </c>
      <c r="H1252" t="s">
        <v>4936</v>
      </c>
      <c r="I1252" t="s">
        <v>4937</v>
      </c>
      <c r="J1252" t="s">
        <v>56</v>
      </c>
      <c r="K1252">
        <v>10</v>
      </c>
      <c r="L1252">
        <v>18</v>
      </c>
      <c r="M1252">
        <v>2026</v>
      </c>
      <c r="N1252" t="s">
        <v>47</v>
      </c>
      <c r="O1252" s="5">
        <f>DATE(Tabela1[[#This Row],[vigencia ano]],Tabela1[[#This Row],[vigencia mês]],Tabela1[[#This Row],[vigencia dia]])</f>
        <v>46548</v>
      </c>
    </row>
    <row r="1253" spans="1:15" x14ac:dyDescent="0.25">
      <c r="A1253" t="s">
        <v>41</v>
      </c>
      <c r="B1253" t="s">
        <v>4938</v>
      </c>
      <c r="C1253" s="1">
        <v>39283025000185</v>
      </c>
      <c r="D1253" t="s">
        <v>4939</v>
      </c>
      <c r="E1253" t="s">
        <v>4935</v>
      </c>
      <c r="F1253" t="s">
        <v>9</v>
      </c>
      <c r="G1253">
        <v>93310251</v>
      </c>
      <c r="H1253" t="s">
        <v>4940</v>
      </c>
      <c r="I1253" t="s">
        <v>4941</v>
      </c>
      <c r="J1253" t="s">
        <v>56</v>
      </c>
      <c r="K1253">
        <v>5</v>
      </c>
      <c r="L1253">
        <v>12</v>
      </c>
      <c r="M1253">
        <v>2035</v>
      </c>
      <c r="N1253" t="s">
        <v>4942</v>
      </c>
      <c r="O1253" s="5">
        <f>DATE(Tabela1[[#This Row],[vigencia ano]],Tabela1[[#This Row],[vigencia mês]],Tabela1[[#This Row],[vigencia dia]])</f>
        <v>49648</v>
      </c>
    </row>
    <row r="1254" spans="1:15" x14ac:dyDescent="0.25">
      <c r="A1254" t="s">
        <v>41</v>
      </c>
      <c r="B1254" t="s">
        <v>4943</v>
      </c>
      <c r="C1254" s="1">
        <v>7620879000466</v>
      </c>
      <c r="D1254" t="s">
        <v>4944</v>
      </c>
      <c r="E1254" t="s">
        <v>4945</v>
      </c>
      <c r="F1254" t="s">
        <v>9</v>
      </c>
      <c r="G1254">
        <v>90200290</v>
      </c>
      <c r="H1254" t="s">
        <v>4946</v>
      </c>
      <c r="I1254" t="s">
        <v>4947</v>
      </c>
      <c r="J1254" t="s">
        <v>46</v>
      </c>
      <c r="K1254">
        <v>8</v>
      </c>
      <c r="L1254">
        <v>12</v>
      </c>
      <c r="M1254">
        <v>2035</v>
      </c>
      <c r="N1254" t="s">
        <v>4948</v>
      </c>
      <c r="O1254" s="5">
        <f>DATE(Tabela1[[#This Row],[vigencia ano]],Tabela1[[#This Row],[vigencia mês]],Tabela1[[#This Row],[vigencia dia]])</f>
        <v>49651</v>
      </c>
    </row>
    <row r="1255" spans="1:15" x14ac:dyDescent="0.25">
      <c r="A1255" t="s">
        <v>41</v>
      </c>
      <c r="B1255" t="s">
        <v>4949</v>
      </c>
      <c r="C1255" s="1">
        <v>5364263000101</v>
      </c>
      <c r="D1255" t="s">
        <v>4950</v>
      </c>
      <c r="E1255" t="s">
        <v>4945</v>
      </c>
      <c r="F1255" t="s">
        <v>9</v>
      </c>
      <c r="G1255">
        <v>90030120</v>
      </c>
      <c r="H1255" t="s">
        <v>4951</v>
      </c>
      <c r="I1255" t="s">
        <v>4952</v>
      </c>
      <c r="J1255" t="s">
        <v>56</v>
      </c>
      <c r="K1255">
        <v>8</v>
      </c>
      <c r="L1255">
        <v>18</v>
      </c>
      <c r="M1255">
        <v>2026</v>
      </c>
      <c r="N1255" t="s">
        <v>47</v>
      </c>
      <c r="O1255" s="5">
        <f>DATE(Tabela1[[#This Row],[vigencia ano]],Tabela1[[#This Row],[vigencia mês]],Tabela1[[#This Row],[vigencia dia]])</f>
        <v>46546</v>
      </c>
    </row>
    <row r="1256" spans="1:15" x14ac:dyDescent="0.25">
      <c r="A1256" t="s">
        <v>41</v>
      </c>
      <c r="B1256" t="s">
        <v>4953</v>
      </c>
      <c r="C1256" s="1">
        <v>87689402000123</v>
      </c>
      <c r="D1256" t="s">
        <v>4954</v>
      </c>
      <c r="E1256" t="s">
        <v>4945</v>
      </c>
      <c r="F1256" t="s">
        <v>9</v>
      </c>
      <c r="G1256">
        <v>90200310</v>
      </c>
      <c r="H1256" t="s">
        <v>2748</v>
      </c>
      <c r="I1256" t="s">
        <v>4955</v>
      </c>
      <c r="J1256" t="s">
        <v>46</v>
      </c>
      <c r="K1256">
        <v>8</v>
      </c>
      <c r="L1256">
        <v>6</v>
      </c>
      <c r="M1256">
        <v>2023</v>
      </c>
      <c r="N1256" t="s">
        <v>47</v>
      </c>
      <c r="O1256" s="5">
        <f>DATE(Tabela1[[#This Row],[vigencia ano]],Tabela1[[#This Row],[vigencia mês]],Tabela1[[#This Row],[vigencia dia]])</f>
        <v>45085</v>
      </c>
    </row>
    <row r="1257" spans="1:15" x14ac:dyDescent="0.25">
      <c r="A1257" t="s">
        <v>41</v>
      </c>
      <c r="B1257" t="s">
        <v>4956</v>
      </c>
      <c r="C1257" s="1">
        <v>92644483000185</v>
      </c>
      <c r="D1257" t="s">
        <v>4957</v>
      </c>
      <c r="E1257" t="s">
        <v>4945</v>
      </c>
      <c r="F1257" t="s">
        <v>9</v>
      </c>
      <c r="G1257">
        <v>90200230</v>
      </c>
      <c r="H1257" t="s">
        <v>4958</v>
      </c>
      <c r="I1257" t="s">
        <v>4959</v>
      </c>
      <c r="J1257" t="s">
        <v>46</v>
      </c>
      <c r="K1257">
        <v>11</v>
      </c>
      <c r="L1257">
        <v>30</v>
      </c>
      <c r="M1257">
        <v>2031</v>
      </c>
      <c r="N1257" t="s">
        <v>47</v>
      </c>
      <c r="O1257" s="5">
        <f>DATE(Tabela1[[#This Row],[vigencia ano]],Tabela1[[#This Row],[vigencia mês]],Tabela1[[#This Row],[vigencia dia]])</f>
        <v>48741</v>
      </c>
    </row>
    <row r="1258" spans="1:15" x14ac:dyDescent="0.25">
      <c r="A1258" t="s">
        <v>41</v>
      </c>
      <c r="B1258" t="s">
        <v>4960</v>
      </c>
      <c r="C1258" s="1">
        <v>93653830000107</v>
      </c>
      <c r="D1258" t="s">
        <v>4961</v>
      </c>
      <c r="E1258" t="s">
        <v>4945</v>
      </c>
      <c r="F1258" t="s">
        <v>9</v>
      </c>
      <c r="G1258">
        <v>90200290</v>
      </c>
      <c r="H1258" t="s">
        <v>4962</v>
      </c>
      <c r="I1258" t="s">
        <v>4963</v>
      </c>
      <c r="J1258" t="s">
        <v>56</v>
      </c>
      <c r="K1258">
        <v>3</v>
      </c>
      <c r="L1258">
        <v>7</v>
      </c>
      <c r="M1258">
        <v>2023</v>
      </c>
      <c r="N1258" t="s">
        <v>47</v>
      </c>
      <c r="O1258" s="5">
        <f>DATE(Tabela1[[#This Row],[vigencia ano]],Tabela1[[#This Row],[vigencia mês]],Tabela1[[#This Row],[vigencia dia]])</f>
        <v>45110</v>
      </c>
    </row>
    <row r="1259" spans="1:15" x14ac:dyDescent="0.25">
      <c r="A1259" t="s">
        <v>41</v>
      </c>
      <c r="B1259" t="s">
        <v>4964</v>
      </c>
      <c r="C1259" s="1">
        <v>88246251000100</v>
      </c>
      <c r="D1259" t="s">
        <v>4965</v>
      </c>
      <c r="E1259" t="s">
        <v>4945</v>
      </c>
      <c r="F1259" t="s">
        <v>9</v>
      </c>
      <c r="G1259">
        <v>90200290</v>
      </c>
      <c r="H1259" t="s">
        <v>4966</v>
      </c>
      <c r="I1259" t="s">
        <v>4967</v>
      </c>
      <c r="J1259" t="s">
        <v>56</v>
      </c>
      <c r="K1259">
        <v>5</v>
      </c>
      <c r="L1259">
        <v>10</v>
      </c>
      <c r="M1259">
        <v>2027</v>
      </c>
      <c r="N1259" t="s">
        <v>47</v>
      </c>
      <c r="O1259" s="5">
        <f>DATE(Tabela1[[#This Row],[vigencia ano]],Tabela1[[#This Row],[vigencia mês]],Tabela1[[#This Row],[vigencia dia]])</f>
        <v>46665</v>
      </c>
    </row>
    <row r="1260" spans="1:15" x14ac:dyDescent="0.25">
      <c r="A1260" t="s">
        <v>41</v>
      </c>
      <c r="B1260" t="s">
        <v>4968</v>
      </c>
      <c r="C1260" s="1">
        <v>193687000129</v>
      </c>
      <c r="D1260" t="s">
        <v>4969</v>
      </c>
      <c r="E1260" t="s">
        <v>4945</v>
      </c>
      <c r="F1260" t="s">
        <v>9</v>
      </c>
      <c r="G1260">
        <v>91150180</v>
      </c>
      <c r="H1260" t="s">
        <v>4970</v>
      </c>
      <c r="I1260" t="s">
        <v>4971</v>
      </c>
      <c r="J1260" t="s">
        <v>56</v>
      </c>
      <c r="K1260">
        <v>4</v>
      </c>
      <c r="L1260">
        <v>17</v>
      </c>
      <c r="M1260">
        <v>2030</v>
      </c>
      <c r="N1260" t="s">
        <v>47</v>
      </c>
      <c r="O1260" s="5">
        <f>DATE(Tabela1[[#This Row],[vigencia ano]],Tabela1[[#This Row],[vigencia mês]],Tabela1[[#This Row],[vigencia dia]])</f>
        <v>47972</v>
      </c>
    </row>
    <row r="1261" spans="1:15" x14ac:dyDescent="0.25">
      <c r="A1261" t="s">
        <v>41</v>
      </c>
      <c r="B1261" t="s">
        <v>4972</v>
      </c>
      <c r="C1261" s="1">
        <v>15711933000164</v>
      </c>
      <c r="D1261" t="s">
        <v>4973</v>
      </c>
      <c r="E1261" t="s">
        <v>4945</v>
      </c>
      <c r="F1261" t="s">
        <v>9</v>
      </c>
      <c r="G1261">
        <v>90550141</v>
      </c>
      <c r="H1261" t="s">
        <v>4974</v>
      </c>
      <c r="I1261" t="s">
        <v>4975</v>
      </c>
      <c r="J1261" t="s">
        <v>56</v>
      </c>
      <c r="K1261">
        <v>10</v>
      </c>
      <c r="L1261">
        <v>29</v>
      </c>
      <c r="M1261">
        <v>2031</v>
      </c>
      <c r="N1261" t="s">
        <v>47</v>
      </c>
      <c r="O1261" s="5">
        <f>DATE(Tabela1[[#This Row],[vigencia ano]],Tabela1[[#This Row],[vigencia mês]],Tabela1[[#This Row],[vigencia dia]])</f>
        <v>48709</v>
      </c>
    </row>
    <row r="1262" spans="1:15" x14ac:dyDescent="0.25">
      <c r="A1262" t="s">
        <v>41</v>
      </c>
      <c r="B1262" t="s">
        <v>4976</v>
      </c>
      <c r="C1262" s="1">
        <v>92691609000172</v>
      </c>
      <c r="D1262" t="s">
        <v>4977</v>
      </c>
      <c r="E1262" t="s">
        <v>4945</v>
      </c>
      <c r="F1262" t="s">
        <v>9</v>
      </c>
      <c r="G1262">
        <v>90810240</v>
      </c>
      <c r="H1262" t="s">
        <v>4978</v>
      </c>
      <c r="I1262" t="s">
        <v>4979</v>
      </c>
      <c r="J1262" t="s">
        <v>56</v>
      </c>
      <c r="K1262">
        <v>8</v>
      </c>
      <c r="L1262">
        <v>19</v>
      </c>
      <c r="M1262">
        <v>2015</v>
      </c>
      <c r="N1262" t="s">
        <v>47</v>
      </c>
      <c r="O1262" s="5">
        <f>DATE(Tabela1[[#This Row],[vigencia ano]],Tabela1[[#This Row],[vigencia mês]],Tabela1[[#This Row],[vigencia dia]])</f>
        <v>42559</v>
      </c>
    </row>
    <row r="1263" spans="1:15" x14ac:dyDescent="0.25">
      <c r="A1263" t="s">
        <v>41</v>
      </c>
      <c r="B1263" t="s">
        <v>4980</v>
      </c>
      <c r="C1263" s="1">
        <v>97434690000129</v>
      </c>
      <c r="D1263" t="s">
        <v>4981</v>
      </c>
      <c r="E1263" t="s">
        <v>4945</v>
      </c>
      <c r="F1263" t="s">
        <v>9</v>
      </c>
      <c r="G1263">
        <v>91040631</v>
      </c>
      <c r="H1263" t="s">
        <v>4982</v>
      </c>
      <c r="I1263" t="s">
        <v>4983</v>
      </c>
      <c r="J1263" t="s">
        <v>56</v>
      </c>
      <c r="K1263">
        <v>1</v>
      </c>
      <c r="L1263">
        <v>10</v>
      </c>
      <c r="M1263">
        <v>2023</v>
      </c>
      <c r="N1263" t="s">
        <v>47</v>
      </c>
      <c r="O1263" s="5">
        <f>DATE(Tabela1[[#This Row],[vigencia ano]],Tabela1[[#This Row],[vigencia mês]],Tabela1[[#This Row],[vigencia dia]])</f>
        <v>45200</v>
      </c>
    </row>
    <row r="1264" spans="1:15" x14ac:dyDescent="0.25">
      <c r="A1264" t="s">
        <v>41</v>
      </c>
      <c r="B1264" t="s">
        <v>4984</v>
      </c>
      <c r="C1264" s="1">
        <v>7645103000158</v>
      </c>
      <c r="D1264" t="s">
        <v>4985</v>
      </c>
      <c r="E1264" t="s">
        <v>4945</v>
      </c>
      <c r="F1264" t="s">
        <v>9</v>
      </c>
      <c r="G1264">
        <v>90230160</v>
      </c>
      <c r="H1264" t="s">
        <v>4986</v>
      </c>
      <c r="I1264" t="s">
        <v>4987</v>
      </c>
      <c r="J1264" t="s">
        <v>56</v>
      </c>
      <c r="K1264">
        <v>7</v>
      </c>
      <c r="L1264">
        <v>23</v>
      </c>
      <c r="M1264">
        <v>2024</v>
      </c>
      <c r="N1264" t="s">
        <v>47</v>
      </c>
      <c r="O1264" s="5">
        <f>DATE(Tabela1[[#This Row],[vigencia ano]],Tabela1[[#This Row],[vigencia mês]],Tabela1[[#This Row],[vigencia dia]])</f>
        <v>45968</v>
      </c>
    </row>
    <row r="1265" spans="1:15" x14ac:dyDescent="0.25">
      <c r="A1265" t="s">
        <v>41</v>
      </c>
      <c r="B1265" t="s">
        <v>4988</v>
      </c>
      <c r="C1265" s="1">
        <v>10933098000193</v>
      </c>
      <c r="D1265" t="s">
        <v>4989</v>
      </c>
      <c r="E1265" t="s">
        <v>4945</v>
      </c>
      <c r="F1265" t="s">
        <v>9</v>
      </c>
      <c r="G1265">
        <v>90450020</v>
      </c>
      <c r="H1265" t="s">
        <v>4990</v>
      </c>
      <c r="I1265" t="s">
        <v>4991</v>
      </c>
      <c r="J1265" t="s">
        <v>56</v>
      </c>
      <c r="K1265">
        <v>8</v>
      </c>
      <c r="L1265">
        <v>11</v>
      </c>
      <c r="M1265">
        <v>2031</v>
      </c>
      <c r="N1265" t="s">
        <v>47</v>
      </c>
      <c r="O1265" s="5">
        <f>DATE(Tabela1[[#This Row],[vigencia ano]],Tabela1[[#This Row],[vigencia mês]],Tabela1[[#This Row],[vigencia dia]])</f>
        <v>48160</v>
      </c>
    </row>
    <row r="1266" spans="1:15" x14ac:dyDescent="0.25">
      <c r="A1266" t="s">
        <v>41</v>
      </c>
      <c r="B1266" t="s">
        <v>4992</v>
      </c>
      <c r="C1266" s="1">
        <v>2600037000186</v>
      </c>
      <c r="D1266" t="s">
        <v>4993</v>
      </c>
      <c r="E1266" t="s">
        <v>4945</v>
      </c>
      <c r="F1266" t="s">
        <v>9</v>
      </c>
      <c r="G1266">
        <v>91150010</v>
      </c>
      <c r="H1266" t="s">
        <v>4994</v>
      </c>
      <c r="I1266" t="s">
        <v>4995</v>
      </c>
      <c r="J1266" t="s">
        <v>56</v>
      </c>
      <c r="K1266">
        <v>7</v>
      </c>
      <c r="L1266">
        <v>2</v>
      </c>
      <c r="M1266">
        <v>2035</v>
      </c>
      <c r="N1266" t="s">
        <v>4996</v>
      </c>
      <c r="O1266" s="5">
        <f>DATE(Tabela1[[#This Row],[vigencia ano]],Tabela1[[#This Row],[vigencia mês]],Tabela1[[#This Row],[vigencia dia]])</f>
        <v>49347</v>
      </c>
    </row>
    <row r="1267" spans="1:15" x14ac:dyDescent="0.25">
      <c r="A1267" t="s">
        <v>41</v>
      </c>
      <c r="B1267" t="s">
        <v>4997</v>
      </c>
      <c r="C1267" s="1">
        <v>20735946000103</v>
      </c>
      <c r="D1267" t="s">
        <v>4998</v>
      </c>
      <c r="E1267" t="s">
        <v>4945</v>
      </c>
      <c r="F1267" t="s">
        <v>9</v>
      </c>
      <c r="G1267">
        <v>90240200</v>
      </c>
      <c r="H1267" t="s">
        <v>4999</v>
      </c>
      <c r="I1267" t="s">
        <v>5000</v>
      </c>
      <c r="J1267" t="s">
        <v>56</v>
      </c>
      <c r="K1267">
        <v>7</v>
      </c>
      <c r="L1267">
        <v>8</v>
      </c>
      <c r="M1267">
        <v>2036</v>
      </c>
      <c r="N1267" t="s">
        <v>5001</v>
      </c>
      <c r="O1267" s="5">
        <f>DATE(Tabela1[[#This Row],[vigencia ano]],Tabela1[[#This Row],[vigencia mês]],Tabela1[[#This Row],[vigencia dia]])</f>
        <v>49894</v>
      </c>
    </row>
    <row r="1268" spans="1:15" x14ac:dyDescent="0.25">
      <c r="A1268" t="s">
        <v>41</v>
      </c>
      <c r="B1268" t="s">
        <v>4997</v>
      </c>
      <c r="C1268" s="1">
        <v>20735946000103</v>
      </c>
      <c r="D1268" t="s">
        <v>4998</v>
      </c>
      <c r="E1268" t="s">
        <v>4945</v>
      </c>
      <c r="F1268" t="s">
        <v>9</v>
      </c>
      <c r="G1268">
        <v>90240200</v>
      </c>
      <c r="H1268" t="s">
        <v>5002</v>
      </c>
      <c r="I1268" t="s">
        <v>5000</v>
      </c>
      <c r="J1268" t="s">
        <v>56</v>
      </c>
      <c r="K1268">
        <v>7</v>
      </c>
      <c r="L1268">
        <v>8</v>
      </c>
      <c r="M1268">
        <v>2036</v>
      </c>
      <c r="N1268" t="s">
        <v>5001</v>
      </c>
      <c r="O1268" s="5">
        <f>DATE(Tabela1[[#This Row],[vigencia ano]],Tabela1[[#This Row],[vigencia mês]],Tabela1[[#This Row],[vigencia dia]])</f>
        <v>49894</v>
      </c>
    </row>
    <row r="1269" spans="1:15" x14ac:dyDescent="0.25">
      <c r="A1269" t="s">
        <v>41</v>
      </c>
      <c r="B1269" t="s">
        <v>5003</v>
      </c>
      <c r="C1269" s="1">
        <v>19950594000120</v>
      </c>
      <c r="D1269" t="s">
        <v>5004</v>
      </c>
      <c r="E1269" t="s">
        <v>4945</v>
      </c>
      <c r="F1269" t="s">
        <v>9</v>
      </c>
      <c r="G1269">
        <v>90430000</v>
      </c>
      <c r="H1269" t="s">
        <v>5005</v>
      </c>
      <c r="I1269" t="s">
        <v>5006</v>
      </c>
      <c r="J1269" t="s">
        <v>46</v>
      </c>
      <c r="K1269">
        <v>2</v>
      </c>
      <c r="L1269">
        <v>12</v>
      </c>
      <c r="M1269">
        <v>2035</v>
      </c>
      <c r="N1269" t="s">
        <v>5007</v>
      </c>
      <c r="O1269" s="5">
        <f>DATE(Tabela1[[#This Row],[vigencia ano]],Tabela1[[#This Row],[vigencia mês]],Tabela1[[#This Row],[vigencia dia]])</f>
        <v>49645</v>
      </c>
    </row>
    <row r="1270" spans="1:15" x14ac:dyDescent="0.25">
      <c r="A1270" t="s">
        <v>41</v>
      </c>
      <c r="B1270" t="s">
        <v>5008</v>
      </c>
      <c r="C1270" s="1">
        <v>33767574000149</v>
      </c>
      <c r="D1270" t="s">
        <v>5009</v>
      </c>
      <c r="E1270" t="s">
        <v>4945</v>
      </c>
      <c r="F1270" t="s">
        <v>9</v>
      </c>
      <c r="G1270">
        <v>90480160</v>
      </c>
      <c r="H1270" t="s">
        <v>5010</v>
      </c>
      <c r="I1270" t="s">
        <v>5011</v>
      </c>
      <c r="J1270" t="s">
        <v>46</v>
      </c>
      <c r="K1270">
        <v>3</v>
      </c>
      <c r="L1270">
        <v>16</v>
      </c>
      <c r="M1270">
        <v>2030</v>
      </c>
      <c r="N1270" t="s">
        <v>47</v>
      </c>
      <c r="O1270" s="5">
        <f>DATE(Tabela1[[#This Row],[vigencia ano]],Tabela1[[#This Row],[vigencia mês]],Tabela1[[#This Row],[vigencia dia]])</f>
        <v>47941</v>
      </c>
    </row>
    <row r="1271" spans="1:15" x14ac:dyDescent="0.25">
      <c r="A1271" t="s">
        <v>41</v>
      </c>
      <c r="B1271" t="s">
        <v>5008</v>
      </c>
      <c r="C1271" s="1">
        <v>33767574000149</v>
      </c>
      <c r="D1271" t="s">
        <v>5009</v>
      </c>
      <c r="E1271" t="s">
        <v>4945</v>
      </c>
      <c r="F1271" t="s">
        <v>9</v>
      </c>
      <c r="G1271">
        <v>90480160</v>
      </c>
      <c r="H1271" t="s">
        <v>5012</v>
      </c>
      <c r="I1271" t="s">
        <v>5011</v>
      </c>
      <c r="J1271" t="s">
        <v>46</v>
      </c>
      <c r="K1271">
        <v>3</v>
      </c>
      <c r="L1271">
        <v>16</v>
      </c>
      <c r="M1271">
        <v>2030</v>
      </c>
      <c r="N1271" t="s">
        <v>47</v>
      </c>
      <c r="O1271" s="5">
        <f>DATE(Tabela1[[#This Row],[vigencia ano]],Tabela1[[#This Row],[vigencia mês]],Tabela1[[#This Row],[vigencia dia]])</f>
        <v>47941</v>
      </c>
    </row>
    <row r="1272" spans="1:15" x14ac:dyDescent="0.25">
      <c r="A1272" t="s">
        <v>41</v>
      </c>
      <c r="B1272" t="s">
        <v>5013</v>
      </c>
      <c r="C1272" s="1">
        <v>1708418000110</v>
      </c>
      <c r="D1272" t="s">
        <v>5014</v>
      </c>
      <c r="E1272" t="s">
        <v>4945</v>
      </c>
      <c r="F1272" t="s">
        <v>9</v>
      </c>
      <c r="G1272">
        <v>90230121</v>
      </c>
      <c r="H1272" t="s">
        <v>5015</v>
      </c>
      <c r="I1272" t="s">
        <v>5016</v>
      </c>
      <c r="J1272" t="s">
        <v>56</v>
      </c>
      <c r="K1272">
        <v>1</v>
      </c>
      <c r="L1272">
        <v>28</v>
      </c>
      <c r="M1272">
        <v>2030</v>
      </c>
      <c r="N1272" t="s">
        <v>47</v>
      </c>
      <c r="O1272" s="5">
        <f>DATE(Tabela1[[#This Row],[vigencia ano]],Tabela1[[#This Row],[vigencia mês]],Tabela1[[#This Row],[vigencia dia]])</f>
        <v>48305</v>
      </c>
    </row>
    <row r="1273" spans="1:15" x14ac:dyDescent="0.25">
      <c r="A1273" t="s">
        <v>41</v>
      </c>
      <c r="B1273" t="s">
        <v>5017</v>
      </c>
      <c r="C1273" s="1">
        <v>90950338000105</v>
      </c>
      <c r="D1273" t="s">
        <v>5018</v>
      </c>
      <c r="E1273" t="s">
        <v>4945</v>
      </c>
      <c r="F1273" t="s">
        <v>9</v>
      </c>
      <c r="G1273">
        <v>91340350</v>
      </c>
      <c r="H1273" t="s">
        <v>5019</v>
      </c>
      <c r="I1273" t="s">
        <v>5020</v>
      </c>
      <c r="J1273" t="s">
        <v>56</v>
      </c>
      <c r="K1273">
        <v>2</v>
      </c>
      <c r="L1273">
        <v>3</v>
      </c>
      <c r="M1273">
        <v>2025</v>
      </c>
      <c r="N1273" t="s">
        <v>47</v>
      </c>
      <c r="O1273" s="5">
        <f>DATE(Tabela1[[#This Row],[vigencia ano]],Tabela1[[#This Row],[vigencia mês]],Tabela1[[#This Row],[vigencia dia]])</f>
        <v>45718</v>
      </c>
    </row>
    <row r="1274" spans="1:15" x14ac:dyDescent="0.25">
      <c r="A1274" t="s">
        <v>41</v>
      </c>
      <c r="B1274" t="s">
        <v>5021</v>
      </c>
      <c r="C1274" s="1">
        <v>2515128000113</v>
      </c>
      <c r="D1274" t="s">
        <v>5022</v>
      </c>
      <c r="E1274" t="s">
        <v>4945</v>
      </c>
      <c r="F1274" t="s">
        <v>9</v>
      </c>
      <c r="G1274">
        <v>90230031</v>
      </c>
      <c r="H1274" t="s">
        <v>5023</v>
      </c>
      <c r="I1274" t="s">
        <v>5024</v>
      </c>
      <c r="J1274" t="s">
        <v>56</v>
      </c>
      <c r="K1274">
        <v>3</v>
      </c>
      <c r="L1274">
        <v>23</v>
      </c>
      <c r="M1274">
        <v>2030</v>
      </c>
      <c r="N1274" t="s">
        <v>47</v>
      </c>
      <c r="O1274" s="5">
        <f>DATE(Tabela1[[#This Row],[vigencia ano]],Tabela1[[#This Row],[vigencia mês]],Tabela1[[#This Row],[vigencia dia]])</f>
        <v>48155</v>
      </c>
    </row>
    <row r="1275" spans="1:15" x14ac:dyDescent="0.25">
      <c r="A1275" t="s">
        <v>41</v>
      </c>
      <c r="B1275" t="s">
        <v>5025</v>
      </c>
      <c r="C1275" s="1">
        <v>5591362000118</v>
      </c>
      <c r="D1275" t="s">
        <v>5026</v>
      </c>
      <c r="E1275" t="s">
        <v>5027</v>
      </c>
      <c r="F1275" t="s">
        <v>9</v>
      </c>
      <c r="G1275">
        <v>96204060</v>
      </c>
      <c r="H1275" t="s">
        <v>5028</v>
      </c>
      <c r="I1275" t="s">
        <v>5029</v>
      </c>
      <c r="J1275" t="s">
        <v>56</v>
      </c>
      <c r="K1275">
        <v>9</v>
      </c>
      <c r="L1275">
        <v>14</v>
      </c>
      <c r="M1275">
        <v>2025</v>
      </c>
      <c r="N1275" t="s">
        <v>47</v>
      </c>
      <c r="O1275" s="5">
        <f>DATE(Tabela1[[#This Row],[vigencia ano]],Tabela1[[#This Row],[vigencia mês]],Tabela1[[#This Row],[vigencia dia]])</f>
        <v>46062</v>
      </c>
    </row>
    <row r="1276" spans="1:15" x14ac:dyDescent="0.25">
      <c r="A1276" t="s">
        <v>41</v>
      </c>
      <c r="B1276" t="s">
        <v>5030</v>
      </c>
      <c r="C1276" s="1">
        <v>32991174000150</v>
      </c>
      <c r="D1276" t="s">
        <v>5031</v>
      </c>
      <c r="E1276" t="s">
        <v>5027</v>
      </c>
      <c r="F1276" t="s">
        <v>9</v>
      </c>
      <c r="G1276">
        <v>96200290</v>
      </c>
      <c r="H1276" t="s">
        <v>5032</v>
      </c>
      <c r="I1276" t="s">
        <v>5033</v>
      </c>
      <c r="J1276" t="s">
        <v>56</v>
      </c>
      <c r="K1276">
        <v>12</v>
      </c>
      <c r="L1276">
        <v>16</v>
      </c>
      <c r="M1276">
        <v>2031</v>
      </c>
      <c r="N1276" t="s">
        <v>47</v>
      </c>
      <c r="O1276" s="5">
        <f>DATE(Tabela1[[#This Row],[vigencia ano]],Tabela1[[#This Row],[vigencia mês]],Tabela1[[#This Row],[vigencia dia]])</f>
        <v>48316</v>
      </c>
    </row>
    <row r="1277" spans="1:15" x14ac:dyDescent="0.25">
      <c r="A1277" t="s">
        <v>41</v>
      </c>
      <c r="B1277" t="s">
        <v>5034</v>
      </c>
      <c r="C1277" s="1">
        <v>74109828000119</v>
      </c>
      <c r="D1277" t="s">
        <v>5035</v>
      </c>
      <c r="E1277" t="s">
        <v>5027</v>
      </c>
      <c r="F1277" t="s">
        <v>9</v>
      </c>
      <c r="G1277">
        <v>96204040</v>
      </c>
      <c r="H1277" t="s">
        <v>5036</v>
      </c>
      <c r="I1277" t="s">
        <v>5037</v>
      </c>
      <c r="J1277" t="s">
        <v>56</v>
      </c>
      <c r="K1277">
        <v>2</v>
      </c>
      <c r="L1277">
        <v>23</v>
      </c>
      <c r="M1277">
        <v>2017</v>
      </c>
      <c r="N1277" t="s">
        <v>47</v>
      </c>
      <c r="O1277" s="5">
        <f>DATE(Tabela1[[#This Row],[vigencia ano]],Tabela1[[#This Row],[vigencia mês]],Tabela1[[#This Row],[vigencia dia]])</f>
        <v>43406</v>
      </c>
    </row>
    <row r="1278" spans="1:15" x14ac:dyDescent="0.25">
      <c r="A1278" t="s">
        <v>41</v>
      </c>
      <c r="B1278" t="s">
        <v>5038</v>
      </c>
      <c r="C1278" s="1">
        <v>10787871000150</v>
      </c>
      <c r="D1278" t="s">
        <v>5039</v>
      </c>
      <c r="E1278" t="s">
        <v>5027</v>
      </c>
      <c r="F1278" t="s">
        <v>9</v>
      </c>
      <c r="G1278">
        <v>96204400</v>
      </c>
      <c r="H1278" t="s">
        <v>5040</v>
      </c>
      <c r="I1278" t="s">
        <v>5041</v>
      </c>
      <c r="J1278" t="s">
        <v>56</v>
      </c>
      <c r="K1278">
        <v>2</v>
      </c>
      <c r="L1278">
        <v>22</v>
      </c>
      <c r="M1278">
        <v>2034</v>
      </c>
      <c r="N1278" t="s">
        <v>47</v>
      </c>
      <c r="O1278" s="5">
        <f>DATE(Tabela1[[#This Row],[vigencia ano]],Tabela1[[#This Row],[vigencia mês]],Tabela1[[#This Row],[vigencia dia]])</f>
        <v>49584</v>
      </c>
    </row>
    <row r="1279" spans="1:15" x14ac:dyDescent="0.25">
      <c r="A1279" t="s">
        <v>41</v>
      </c>
      <c r="B1279" t="s">
        <v>5042</v>
      </c>
      <c r="C1279" s="1">
        <v>74617358000102</v>
      </c>
      <c r="D1279" t="s">
        <v>5043</v>
      </c>
      <c r="E1279" t="s">
        <v>5027</v>
      </c>
      <c r="F1279" t="s">
        <v>9</v>
      </c>
      <c r="G1279">
        <v>96211020</v>
      </c>
      <c r="H1279" t="s">
        <v>5044</v>
      </c>
      <c r="I1279" t="s">
        <v>5045</v>
      </c>
      <c r="J1279" t="s">
        <v>56</v>
      </c>
      <c r="K1279">
        <v>12</v>
      </c>
      <c r="L1279">
        <v>1</v>
      </c>
      <c r="M1279">
        <v>2032</v>
      </c>
      <c r="N1279" t="s">
        <v>47</v>
      </c>
      <c r="O1279" s="5">
        <f>DATE(Tabela1[[#This Row],[vigencia ano]],Tabela1[[#This Row],[vigencia mês]],Tabela1[[#This Row],[vigencia dia]])</f>
        <v>48225</v>
      </c>
    </row>
    <row r="1280" spans="1:15" x14ac:dyDescent="0.25">
      <c r="A1280" t="s">
        <v>41</v>
      </c>
      <c r="B1280" t="s">
        <v>5046</v>
      </c>
      <c r="C1280" s="1">
        <v>88981139000104</v>
      </c>
      <c r="D1280" t="s">
        <v>5047</v>
      </c>
      <c r="E1280" t="s">
        <v>5027</v>
      </c>
      <c r="F1280" t="s">
        <v>9</v>
      </c>
      <c r="G1280">
        <v>96200390</v>
      </c>
      <c r="H1280" t="s">
        <v>5048</v>
      </c>
      <c r="I1280" t="s">
        <v>5049</v>
      </c>
      <c r="J1280" t="s">
        <v>56</v>
      </c>
      <c r="K1280">
        <v>3</v>
      </c>
      <c r="L1280">
        <v>23</v>
      </c>
      <c r="M1280">
        <v>2015</v>
      </c>
      <c r="N1280" t="s">
        <v>47</v>
      </c>
      <c r="O1280" s="5">
        <f>DATE(Tabela1[[#This Row],[vigencia ano]],Tabela1[[#This Row],[vigencia mês]],Tabela1[[#This Row],[vigencia dia]])</f>
        <v>42677</v>
      </c>
    </row>
    <row r="1281" spans="1:15" x14ac:dyDescent="0.25">
      <c r="A1281" t="s">
        <v>41</v>
      </c>
      <c r="B1281" t="s">
        <v>5050</v>
      </c>
      <c r="C1281" s="1">
        <v>53101894000172</v>
      </c>
      <c r="D1281" t="s">
        <v>5051</v>
      </c>
      <c r="E1281" t="s">
        <v>5027</v>
      </c>
      <c r="F1281" t="s">
        <v>9</v>
      </c>
      <c r="G1281">
        <v>96211020</v>
      </c>
      <c r="H1281" t="s">
        <v>5044</v>
      </c>
      <c r="I1281" t="s">
        <v>5052</v>
      </c>
      <c r="J1281" t="s">
        <v>56</v>
      </c>
      <c r="K1281">
        <v>3</v>
      </c>
      <c r="L1281">
        <v>16</v>
      </c>
      <c r="M1281">
        <v>2036</v>
      </c>
      <c r="N1281" t="s">
        <v>5053</v>
      </c>
      <c r="O1281" s="5">
        <f>DATE(Tabela1[[#This Row],[vigencia ano]],Tabela1[[#This Row],[vigencia mês]],Tabela1[[#This Row],[vigencia dia]])</f>
        <v>50133</v>
      </c>
    </row>
    <row r="1282" spans="1:15" x14ac:dyDescent="0.25">
      <c r="A1282" t="s">
        <v>41</v>
      </c>
      <c r="B1282" t="s">
        <v>5054</v>
      </c>
      <c r="C1282" s="1">
        <v>1176077000180</v>
      </c>
      <c r="D1282" t="s">
        <v>5055</v>
      </c>
      <c r="E1282" t="s">
        <v>5056</v>
      </c>
      <c r="F1282" t="s">
        <v>9</v>
      </c>
      <c r="G1282">
        <v>96820688</v>
      </c>
      <c r="H1282" t="s">
        <v>5057</v>
      </c>
      <c r="I1282" t="s">
        <v>5058</v>
      </c>
      <c r="J1282" t="s">
        <v>46</v>
      </c>
      <c r="K1282">
        <v>6</v>
      </c>
      <c r="L1282">
        <v>6</v>
      </c>
      <c r="M1282">
        <v>2026</v>
      </c>
      <c r="N1282" t="s">
        <v>47</v>
      </c>
      <c r="O1282" s="5">
        <f>DATE(Tabela1[[#This Row],[vigencia ano]],Tabela1[[#This Row],[vigencia mês]],Tabela1[[#This Row],[vigencia dia]])</f>
        <v>46179</v>
      </c>
    </row>
    <row r="1283" spans="1:15" x14ac:dyDescent="0.25">
      <c r="A1283" t="s">
        <v>41</v>
      </c>
      <c r="B1283" t="s">
        <v>5059</v>
      </c>
      <c r="C1283" s="1">
        <v>3568819000148</v>
      </c>
      <c r="D1283" t="s">
        <v>5060</v>
      </c>
      <c r="E1283" t="s">
        <v>5056</v>
      </c>
      <c r="F1283" t="s">
        <v>9</v>
      </c>
      <c r="G1283">
        <v>96810148</v>
      </c>
      <c r="H1283" t="s">
        <v>5061</v>
      </c>
      <c r="I1283" t="s">
        <v>5062</v>
      </c>
      <c r="J1283" t="s">
        <v>56</v>
      </c>
      <c r="K1283">
        <v>6</v>
      </c>
      <c r="L1283">
        <v>6</v>
      </c>
      <c r="M1283">
        <v>2026</v>
      </c>
      <c r="N1283" t="s">
        <v>47</v>
      </c>
      <c r="O1283" s="5">
        <f>DATE(Tabela1[[#This Row],[vigencia ano]],Tabela1[[#This Row],[vigencia mês]],Tabela1[[#This Row],[vigencia dia]])</f>
        <v>46179</v>
      </c>
    </row>
    <row r="1284" spans="1:15" x14ac:dyDescent="0.25">
      <c r="A1284" t="s">
        <v>41</v>
      </c>
      <c r="B1284" t="s">
        <v>5063</v>
      </c>
      <c r="C1284" s="1">
        <v>24875425000102</v>
      </c>
      <c r="D1284" t="s">
        <v>5064</v>
      </c>
      <c r="E1284" t="s">
        <v>5056</v>
      </c>
      <c r="F1284" t="s">
        <v>9</v>
      </c>
      <c r="G1284">
        <v>96825040</v>
      </c>
      <c r="H1284" t="s">
        <v>5065</v>
      </c>
      <c r="I1284" t="s">
        <v>5066</v>
      </c>
      <c r="J1284" t="s">
        <v>56</v>
      </c>
      <c r="K1284">
        <v>1</v>
      </c>
      <c r="L1284">
        <v>19</v>
      </c>
      <c r="M1284">
        <v>2033</v>
      </c>
      <c r="N1284" t="s">
        <v>47</v>
      </c>
      <c r="O1284" s="5">
        <f>DATE(Tabela1[[#This Row],[vigencia ano]],Tabela1[[#This Row],[vigencia mês]],Tabela1[[#This Row],[vigencia dia]])</f>
        <v>49126</v>
      </c>
    </row>
    <row r="1285" spans="1:15" x14ac:dyDescent="0.25">
      <c r="A1285" t="s">
        <v>41</v>
      </c>
      <c r="B1285" t="s">
        <v>5067</v>
      </c>
      <c r="C1285" s="1">
        <v>18137874000150</v>
      </c>
      <c r="D1285" t="s">
        <v>5068</v>
      </c>
      <c r="E1285" t="s">
        <v>5069</v>
      </c>
      <c r="F1285" t="s">
        <v>9</v>
      </c>
      <c r="G1285">
        <v>95190000</v>
      </c>
      <c r="H1285" t="s">
        <v>5070</v>
      </c>
      <c r="I1285" t="s">
        <v>5071</v>
      </c>
      <c r="J1285" t="s">
        <v>56</v>
      </c>
      <c r="K1285">
        <v>7</v>
      </c>
      <c r="L1285">
        <v>18</v>
      </c>
      <c r="M1285">
        <v>2027</v>
      </c>
      <c r="N1285" t="s">
        <v>47</v>
      </c>
      <c r="O1285" s="5">
        <f>DATE(Tabela1[[#This Row],[vigencia ano]],Tabela1[[#This Row],[vigencia mês]],Tabela1[[#This Row],[vigencia dia]])</f>
        <v>46911</v>
      </c>
    </row>
    <row r="1286" spans="1:15" x14ac:dyDescent="0.25">
      <c r="A1286" t="s">
        <v>41</v>
      </c>
      <c r="B1286" t="s">
        <v>5072</v>
      </c>
      <c r="C1286" s="1">
        <v>16716247000149</v>
      </c>
      <c r="D1286" t="s">
        <v>5073</v>
      </c>
      <c r="E1286" t="s">
        <v>5074</v>
      </c>
      <c r="F1286" t="s">
        <v>9</v>
      </c>
      <c r="G1286">
        <v>97507380</v>
      </c>
      <c r="H1286" t="s">
        <v>5075</v>
      </c>
      <c r="I1286" t="s">
        <v>5076</v>
      </c>
      <c r="J1286" t="s">
        <v>46</v>
      </c>
      <c r="K1286">
        <v>10</v>
      </c>
      <c r="L1286">
        <v>21</v>
      </c>
      <c r="M1286">
        <v>2030</v>
      </c>
      <c r="N1286" t="s">
        <v>47</v>
      </c>
      <c r="O1286" s="5">
        <f>DATE(Tabela1[[#This Row],[vigencia ano]],Tabela1[[#This Row],[vigencia mês]],Tabela1[[#This Row],[vigencia dia]])</f>
        <v>48101</v>
      </c>
    </row>
    <row r="1287" spans="1:15" x14ac:dyDescent="0.25">
      <c r="A1287" t="s">
        <v>41</v>
      </c>
      <c r="B1287" t="s">
        <v>5072</v>
      </c>
      <c r="C1287" s="1">
        <v>16716247000149</v>
      </c>
      <c r="D1287" t="s">
        <v>5073</v>
      </c>
      <c r="E1287" t="s">
        <v>5074</v>
      </c>
      <c r="F1287" t="s">
        <v>9</v>
      </c>
      <c r="G1287">
        <v>97507380</v>
      </c>
      <c r="H1287" t="s">
        <v>5077</v>
      </c>
      <c r="I1287" t="s">
        <v>5076</v>
      </c>
      <c r="J1287" t="s">
        <v>46</v>
      </c>
      <c r="K1287">
        <v>10</v>
      </c>
      <c r="L1287">
        <v>21</v>
      </c>
      <c r="M1287">
        <v>2030</v>
      </c>
      <c r="N1287" t="s">
        <v>47</v>
      </c>
      <c r="O1287" s="5">
        <f>DATE(Tabela1[[#This Row],[vigencia ano]],Tabela1[[#This Row],[vigencia mês]],Tabela1[[#This Row],[vigencia dia]])</f>
        <v>48101</v>
      </c>
    </row>
    <row r="1288" spans="1:15" x14ac:dyDescent="0.25">
      <c r="A1288" t="s">
        <v>41</v>
      </c>
      <c r="B1288" t="s">
        <v>5078</v>
      </c>
      <c r="C1288" s="1">
        <v>7715580000142</v>
      </c>
      <c r="D1288" t="s">
        <v>5079</v>
      </c>
      <c r="E1288" t="s">
        <v>5080</v>
      </c>
      <c r="F1288" t="s">
        <v>9</v>
      </c>
      <c r="G1288">
        <v>95800000</v>
      </c>
      <c r="H1288" t="s">
        <v>5081</v>
      </c>
      <c r="I1288" t="s">
        <v>5082</v>
      </c>
      <c r="J1288" t="s">
        <v>56</v>
      </c>
      <c r="K1288">
        <v>1</v>
      </c>
      <c r="L1288">
        <v>24</v>
      </c>
      <c r="M1288">
        <v>2024</v>
      </c>
      <c r="N1288" t="s">
        <v>47</v>
      </c>
      <c r="O1288" s="5">
        <f>DATE(Tabela1[[#This Row],[vigencia ano]],Tabela1[[#This Row],[vigencia mês]],Tabela1[[#This Row],[vigencia dia]])</f>
        <v>45992</v>
      </c>
    </row>
    <row r="1289" spans="1:15" x14ac:dyDescent="0.25">
      <c r="A1289" t="s">
        <v>41</v>
      </c>
      <c r="B1289" t="s">
        <v>5083</v>
      </c>
      <c r="C1289" s="1">
        <v>11455829000103</v>
      </c>
      <c r="D1289" t="s">
        <v>5084</v>
      </c>
      <c r="E1289" t="s">
        <v>5085</v>
      </c>
      <c r="F1289" t="s">
        <v>26</v>
      </c>
      <c r="G1289">
        <v>79065900</v>
      </c>
      <c r="H1289" t="s">
        <v>5086</v>
      </c>
      <c r="I1289" t="s">
        <v>5087</v>
      </c>
      <c r="J1289" t="s">
        <v>56</v>
      </c>
      <c r="K1289">
        <v>8</v>
      </c>
      <c r="L1289">
        <v>12</v>
      </c>
      <c r="M1289">
        <v>2035</v>
      </c>
      <c r="N1289" t="s">
        <v>5088</v>
      </c>
      <c r="O1289" s="5">
        <f>DATE(Tabela1[[#This Row],[vigencia ano]],Tabela1[[#This Row],[vigencia mês]],Tabela1[[#This Row],[vigencia dia]])</f>
        <v>49651</v>
      </c>
    </row>
    <row r="1290" spans="1:15" x14ac:dyDescent="0.25">
      <c r="A1290" t="s">
        <v>41</v>
      </c>
      <c r="B1290" t="s">
        <v>5083</v>
      </c>
      <c r="C1290" s="1">
        <v>11455829000103</v>
      </c>
      <c r="D1290" t="s">
        <v>5084</v>
      </c>
      <c r="E1290" t="s">
        <v>5085</v>
      </c>
      <c r="F1290" t="s">
        <v>26</v>
      </c>
      <c r="G1290">
        <v>79065900</v>
      </c>
      <c r="H1290" t="s">
        <v>5089</v>
      </c>
      <c r="I1290" t="s">
        <v>5087</v>
      </c>
      <c r="J1290" t="s">
        <v>56</v>
      </c>
      <c r="K1290">
        <v>8</v>
      </c>
      <c r="L1290">
        <v>12</v>
      </c>
      <c r="M1290">
        <v>2035</v>
      </c>
      <c r="N1290" t="s">
        <v>5088</v>
      </c>
      <c r="O1290" s="5">
        <f>DATE(Tabela1[[#This Row],[vigencia ano]],Tabela1[[#This Row],[vigencia mês]],Tabela1[[#This Row],[vigencia dia]])</f>
        <v>49651</v>
      </c>
    </row>
    <row r="1291" spans="1:15" x14ac:dyDescent="0.25">
      <c r="A1291" t="s">
        <v>41</v>
      </c>
      <c r="B1291" t="s">
        <v>5090</v>
      </c>
      <c r="C1291" s="1">
        <v>10958894000180</v>
      </c>
      <c r="D1291" t="s">
        <v>5091</v>
      </c>
      <c r="E1291" t="s">
        <v>5092</v>
      </c>
      <c r="F1291" t="s">
        <v>11</v>
      </c>
      <c r="G1291">
        <v>78008195</v>
      </c>
      <c r="H1291" t="s">
        <v>5093</v>
      </c>
      <c r="I1291" t="s">
        <v>5094</v>
      </c>
      <c r="J1291" t="s">
        <v>56</v>
      </c>
      <c r="K1291">
        <v>7</v>
      </c>
      <c r="L1291">
        <v>14</v>
      </c>
      <c r="M1291">
        <v>2030</v>
      </c>
      <c r="N1291" t="s">
        <v>47</v>
      </c>
      <c r="O1291" s="5">
        <f>DATE(Tabela1[[#This Row],[vigencia ano]],Tabela1[[#This Row],[vigencia mês]],Tabela1[[#This Row],[vigencia dia]])</f>
        <v>47886</v>
      </c>
    </row>
    <row r="1292" spans="1:15" x14ac:dyDescent="0.25">
      <c r="A1292" t="s">
        <v>41</v>
      </c>
      <c r="B1292" t="s">
        <v>5095</v>
      </c>
      <c r="C1292" s="1">
        <v>1824740000105</v>
      </c>
      <c r="D1292" t="s">
        <v>5096</v>
      </c>
      <c r="E1292" t="s">
        <v>5092</v>
      </c>
      <c r="F1292" t="s">
        <v>11</v>
      </c>
      <c r="G1292">
        <v>78098300</v>
      </c>
      <c r="H1292" t="s">
        <v>5097</v>
      </c>
      <c r="I1292" t="s">
        <v>5098</v>
      </c>
      <c r="J1292" t="s">
        <v>46</v>
      </c>
      <c r="K1292">
        <v>9</v>
      </c>
      <c r="L1292">
        <v>22</v>
      </c>
      <c r="M1292">
        <v>2033</v>
      </c>
      <c r="N1292" t="s">
        <v>47</v>
      </c>
      <c r="O1292" s="5">
        <f>DATE(Tabela1[[#This Row],[vigencia ano]],Tabela1[[#This Row],[vigencia mês]],Tabela1[[#This Row],[vigencia dia]])</f>
        <v>49226</v>
      </c>
    </row>
    <row r="1293" spans="1:15" x14ac:dyDescent="0.25">
      <c r="A1293" t="s">
        <v>41</v>
      </c>
      <c r="B1293" t="s">
        <v>5099</v>
      </c>
      <c r="C1293" s="1">
        <v>4762849000153</v>
      </c>
      <c r="D1293" t="s">
        <v>5100</v>
      </c>
      <c r="E1293" t="s">
        <v>5092</v>
      </c>
      <c r="F1293" t="s">
        <v>11</v>
      </c>
      <c r="G1293">
        <v>78098480</v>
      </c>
      <c r="H1293" t="s">
        <v>5101</v>
      </c>
      <c r="I1293" t="s">
        <v>5102</v>
      </c>
      <c r="J1293" t="s">
        <v>56</v>
      </c>
      <c r="K1293">
        <v>6</v>
      </c>
      <c r="L1293">
        <v>17</v>
      </c>
      <c r="M1293">
        <v>2029</v>
      </c>
      <c r="N1293" t="s">
        <v>47</v>
      </c>
      <c r="O1293" s="5">
        <f>DATE(Tabela1[[#This Row],[vigencia ano]],Tabela1[[#This Row],[vigencia mês]],Tabela1[[#This Row],[vigencia dia]])</f>
        <v>47609</v>
      </c>
    </row>
    <row r="1294" spans="1:15" x14ac:dyDescent="0.25">
      <c r="A1294" t="s">
        <v>41</v>
      </c>
      <c r="B1294" t="s">
        <v>5103</v>
      </c>
      <c r="C1294" s="1">
        <v>47242860000103</v>
      </c>
      <c r="D1294" t="s">
        <v>5104</v>
      </c>
      <c r="E1294" t="s">
        <v>5105</v>
      </c>
      <c r="F1294" t="s">
        <v>11</v>
      </c>
      <c r="G1294">
        <v>78460752</v>
      </c>
      <c r="H1294" t="s">
        <v>5106</v>
      </c>
      <c r="I1294" t="s">
        <v>5107</v>
      </c>
      <c r="J1294" t="s">
        <v>56</v>
      </c>
      <c r="K1294">
        <v>8</v>
      </c>
      <c r="L1294">
        <v>28</v>
      </c>
      <c r="M1294">
        <v>2034</v>
      </c>
      <c r="N1294" t="s">
        <v>47</v>
      </c>
      <c r="O1294" s="5">
        <f>DATE(Tabela1[[#This Row],[vigencia ano]],Tabela1[[#This Row],[vigencia mês]],Tabela1[[#This Row],[vigencia dia]])</f>
        <v>49773</v>
      </c>
    </row>
    <row r="1295" spans="1:15" x14ac:dyDescent="0.25">
      <c r="A1295" t="s">
        <v>41</v>
      </c>
      <c r="B1295" t="s">
        <v>5108</v>
      </c>
      <c r="C1295" s="1">
        <v>10280806000134</v>
      </c>
      <c r="D1295" t="s">
        <v>5109</v>
      </c>
      <c r="E1295" t="s">
        <v>5110</v>
      </c>
      <c r="F1295" t="s">
        <v>11</v>
      </c>
      <c r="G1295">
        <v>78746010</v>
      </c>
      <c r="H1295" t="s">
        <v>5111</v>
      </c>
      <c r="I1295" t="s">
        <v>5112</v>
      </c>
      <c r="J1295" t="s">
        <v>46</v>
      </c>
      <c r="K1295">
        <v>8</v>
      </c>
      <c r="L1295">
        <v>2</v>
      </c>
      <c r="M1295">
        <v>2033</v>
      </c>
      <c r="N1295" t="s">
        <v>47</v>
      </c>
      <c r="O1295" s="5">
        <f>DATE(Tabela1[[#This Row],[vigencia ano]],Tabela1[[#This Row],[vigencia mês]],Tabela1[[#This Row],[vigencia dia]])</f>
        <v>48618</v>
      </c>
    </row>
    <row r="1296" spans="1:15" x14ac:dyDescent="0.25">
      <c r="A1296" t="s">
        <v>41</v>
      </c>
      <c r="B1296" t="s">
        <v>5113</v>
      </c>
      <c r="C1296" s="1">
        <v>3861231000188</v>
      </c>
      <c r="D1296" t="s">
        <v>5114</v>
      </c>
      <c r="E1296" t="s">
        <v>5110</v>
      </c>
      <c r="F1296" t="s">
        <v>11</v>
      </c>
      <c r="G1296">
        <v>78705540</v>
      </c>
      <c r="H1296" t="s">
        <v>5115</v>
      </c>
      <c r="I1296" t="s">
        <v>5116</v>
      </c>
      <c r="J1296" t="s">
        <v>46</v>
      </c>
      <c r="K1296">
        <v>9</v>
      </c>
      <c r="L1296">
        <v>12</v>
      </c>
      <c r="M1296">
        <v>2023</v>
      </c>
      <c r="N1296" t="s">
        <v>47</v>
      </c>
      <c r="O1296" s="5">
        <f>DATE(Tabela1[[#This Row],[vigencia ano]],Tabela1[[#This Row],[vigencia mês]],Tabela1[[#This Row],[vigencia dia]])</f>
        <v>45269</v>
      </c>
    </row>
    <row r="1297" spans="1:15" x14ac:dyDescent="0.25">
      <c r="A1297" t="s">
        <v>41</v>
      </c>
      <c r="B1297" t="s">
        <v>5117</v>
      </c>
      <c r="C1297" s="1">
        <v>78261252000161</v>
      </c>
      <c r="D1297" t="s">
        <v>5118</v>
      </c>
      <c r="E1297" t="s">
        <v>5110</v>
      </c>
      <c r="F1297" t="s">
        <v>11</v>
      </c>
      <c r="G1297">
        <v>78746055</v>
      </c>
      <c r="H1297" t="s">
        <v>5119</v>
      </c>
      <c r="I1297" t="s">
        <v>5120</v>
      </c>
      <c r="J1297" t="s">
        <v>46</v>
      </c>
      <c r="K1297">
        <v>8</v>
      </c>
      <c r="L1297">
        <v>3</v>
      </c>
      <c r="M1297">
        <v>2027</v>
      </c>
      <c r="N1297" t="s">
        <v>47</v>
      </c>
      <c r="O1297" s="5">
        <f>DATE(Tabela1[[#This Row],[vigencia ano]],Tabela1[[#This Row],[vigencia mês]],Tabela1[[#This Row],[vigencia dia]])</f>
        <v>46454</v>
      </c>
    </row>
    <row r="1298" spans="1:15" x14ac:dyDescent="0.25">
      <c r="A1298" t="s">
        <v>41</v>
      </c>
      <c r="B1298" t="s">
        <v>5121</v>
      </c>
      <c r="C1298" s="1">
        <v>24962466000136</v>
      </c>
      <c r="D1298" t="s">
        <v>5122</v>
      </c>
      <c r="E1298" t="s">
        <v>5110</v>
      </c>
      <c r="F1298" t="s">
        <v>11</v>
      </c>
      <c r="G1298">
        <v>78746860</v>
      </c>
      <c r="H1298" t="s">
        <v>4245</v>
      </c>
      <c r="I1298" t="s">
        <v>5123</v>
      </c>
      <c r="J1298" t="s">
        <v>56</v>
      </c>
      <c r="K1298">
        <v>5</v>
      </c>
      <c r="L1298">
        <v>26</v>
      </c>
      <c r="M1298">
        <v>2031</v>
      </c>
      <c r="N1298" t="s">
        <v>47</v>
      </c>
      <c r="O1298" s="5">
        <f>DATE(Tabela1[[#This Row],[vigencia ano]],Tabela1[[#This Row],[vigencia mês]],Tabela1[[#This Row],[vigencia dia]])</f>
        <v>48615</v>
      </c>
    </row>
    <row r="1299" spans="1:15" x14ac:dyDescent="0.25">
      <c r="A1299" t="s">
        <v>41</v>
      </c>
      <c r="B1299" t="s">
        <v>5124</v>
      </c>
      <c r="C1299" s="1">
        <v>8858785000140</v>
      </c>
      <c r="D1299" t="s">
        <v>5125</v>
      </c>
      <c r="E1299" t="s">
        <v>5110</v>
      </c>
      <c r="F1299" t="s">
        <v>11</v>
      </c>
      <c r="G1299">
        <v>78746740</v>
      </c>
      <c r="I1299" t="s">
        <v>5126</v>
      </c>
      <c r="J1299" t="s">
        <v>56</v>
      </c>
      <c r="K1299">
        <v>6</v>
      </c>
      <c r="L1299">
        <v>29</v>
      </c>
      <c r="M1299">
        <v>2033</v>
      </c>
      <c r="N1299" t="s">
        <v>47</v>
      </c>
      <c r="O1299" s="5">
        <f>DATE(Tabela1[[#This Row],[vigencia ano]],Tabela1[[#This Row],[vigencia mês]],Tabela1[[#This Row],[vigencia dia]])</f>
        <v>49435</v>
      </c>
    </row>
    <row r="1300" spans="1:15" x14ac:dyDescent="0.25">
      <c r="A1300" t="s">
        <v>41</v>
      </c>
      <c r="B1300" t="s">
        <v>5127</v>
      </c>
      <c r="C1300" s="1">
        <v>5096998000193</v>
      </c>
      <c r="D1300" t="s">
        <v>5128</v>
      </c>
      <c r="E1300" t="s">
        <v>5110</v>
      </c>
      <c r="F1300" t="s">
        <v>11</v>
      </c>
      <c r="G1300">
        <v>78750540</v>
      </c>
      <c r="H1300" t="s">
        <v>5129</v>
      </c>
      <c r="I1300" t="s">
        <v>5130</v>
      </c>
      <c r="J1300" t="s">
        <v>56</v>
      </c>
      <c r="K1300">
        <v>7</v>
      </c>
      <c r="L1300">
        <v>17</v>
      </c>
      <c r="M1300">
        <v>2036</v>
      </c>
      <c r="N1300" t="s">
        <v>5131</v>
      </c>
      <c r="O1300" s="5">
        <f>DATE(Tabela1[[#This Row],[vigencia ano]],Tabela1[[#This Row],[vigencia mês]],Tabela1[[#This Row],[vigencia dia]])</f>
        <v>50167</v>
      </c>
    </row>
    <row r="1301" spans="1:15" x14ac:dyDescent="0.25">
      <c r="A1301" t="s">
        <v>41</v>
      </c>
      <c r="B1301" t="s">
        <v>5132</v>
      </c>
      <c r="C1301" s="1">
        <v>22208815000101</v>
      </c>
      <c r="D1301" t="s">
        <v>5133</v>
      </c>
      <c r="E1301" t="s">
        <v>5134</v>
      </c>
      <c r="F1301" t="s">
        <v>11</v>
      </c>
      <c r="G1301">
        <v>78890000</v>
      </c>
      <c r="H1301" t="s">
        <v>5135</v>
      </c>
      <c r="I1301" t="s">
        <v>5136</v>
      </c>
      <c r="J1301" t="s">
        <v>56</v>
      </c>
      <c r="K1301">
        <v>4</v>
      </c>
      <c r="L1301">
        <v>11</v>
      </c>
      <c r="M1301">
        <v>2028</v>
      </c>
      <c r="N1301" t="s">
        <v>47</v>
      </c>
      <c r="O1301" s="5">
        <f>DATE(Tabela1[[#This Row],[vigencia ano]],Tabela1[[#This Row],[vigencia mês]],Tabela1[[#This Row],[vigencia dia]])</f>
        <v>47061</v>
      </c>
    </row>
    <row r="1302" spans="1:15" x14ac:dyDescent="0.25">
      <c r="A1302" t="s">
        <v>41</v>
      </c>
      <c r="B1302" t="s">
        <v>5137</v>
      </c>
      <c r="C1302" s="1">
        <v>18834795000107</v>
      </c>
      <c r="D1302" t="s">
        <v>5138</v>
      </c>
      <c r="E1302" t="s">
        <v>5139</v>
      </c>
      <c r="F1302" t="s">
        <v>3</v>
      </c>
      <c r="G1302">
        <v>75106203</v>
      </c>
      <c r="H1302" t="s">
        <v>5140</v>
      </c>
      <c r="I1302" t="s">
        <v>5141</v>
      </c>
      <c r="J1302" t="s">
        <v>56</v>
      </c>
      <c r="K1302">
        <v>7</v>
      </c>
      <c r="L1302">
        <v>27</v>
      </c>
      <c r="M1302">
        <v>2031</v>
      </c>
      <c r="N1302" t="s">
        <v>47</v>
      </c>
      <c r="O1302" s="5">
        <f>DATE(Tabela1[[#This Row],[vigencia ano]],Tabela1[[#This Row],[vigencia mês]],Tabela1[[#This Row],[vigencia dia]])</f>
        <v>48645</v>
      </c>
    </row>
    <row r="1303" spans="1:15" x14ac:dyDescent="0.25">
      <c r="A1303" t="s">
        <v>41</v>
      </c>
      <c r="B1303" t="s">
        <v>5142</v>
      </c>
      <c r="C1303" s="1">
        <v>10213051000155</v>
      </c>
      <c r="D1303" t="s">
        <v>5143</v>
      </c>
      <c r="E1303" t="s">
        <v>5139</v>
      </c>
      <c r="F1303" t="s">
        <v>3</v>
      </c>
      <c r="G1303">
        <v>75132030</v>
      </c>
      <c r="H1303" t="s">
        <v>5144</v>
      </c>
      <c r="I1303" t="s">
        <v>5145</v>
      </c>
      <c r="J1303" t="s">
        <v>56</v>
      </c>
      <c r="K1303">
        <v>9</v>
      </c>
      <c r="L1303">
        <v>5</v>
      </c>
      <c r="M1303">
        <v>2022</v>
      </c>
      <c r="N1303" t="s">
        <v>47</v>
      </c>
      <c r="O1303" s="5">
        <f>DATE(Tabela1[[#This Row],[vigencia ano]],Tabela1[[#This Row],[vigencia mês]],Tabela1[[#This Row],[vigencia dia]])</f>
        <v>44690</v>
      </c>
    </row>
    <row r="1304" spans="1:15" x14ac:dyDescent="0.25">
      <c r="A1304" t="s">
        <v>41</v>
      </c>
      <c r="B1304" t="s">
        <v>5146</v>
      </c>
      <c r="C1304" s="1">
        <v>15022154000151</v>
      </c>
      <c r="D1304" t="s">
        <v>5147</v>
      </c>
      <c r="E1304" t="s">
        <v>5148</v>
      </c>
      <c r="F1304" t="s">
        <v>3</v>
      </c>
      <c r="G1304">
        <v>74993394</v>
      </c>
      <c r="H1304" t="s">
        <v>5149</v>
      </c>
      <c r="I1304" t="s">
        <v>5150</v>
      </c>
      <c r="J1304" t="s">
        <v>46</v>
      </c>
      <c r="K1304">
        <v>5</v>
      </c>
      <c r="L1304">
        <v>29</v>
      </c>
      <c r="M1304">
        <v>2035</v>
      </c>
      <c r="N1304" t="s">
        <v>5151</v>
      </c>
      <c r="O1304" s="5">
        <f>DATE(Tabela1[[#This Row],[vigencia ano]],Tabela1[[#This Row],[vigencia mês]],Tabela1[[#This Row],[vigencia dia]])</f>
        <v>50165</v>
      </c>
    </row>
    <row r="1305" spans="1:15" x14ac:dyDescent="0.25">
      <c r="A1305" t="s">
        <v>41</v>
      </c>
      <c r="B1305" t="s">
        <v>5146</v>
      </c>
      <c r="C1305" s="1">
        <v>15022154000151</v>
      </c>
      <c r="D1305" t="s">
        <v>5147</v>
      </c>
      <c r="E1305" t="s">
        <v>5148</v>
      </c>
      <c r="F1305" t="s">
        <v>3</v>
      </c>
      <c r="G1305">
        <v>74993394</v>
      </c>
      <c r="H1305" t="s">
        <v>5152</v>
      </c>
      <c r="I1305" t="s">
        <v>5150</v>
      </c>
      <c r="J1305" t="s">
        <v>46</v>
      </c>
      <c r="K1305">
        <v>5</v>
      </c>
      <c r="L1305">
        <v>29</v>
      </c>
      <c r="M1305">
        <v>2035</v>
      </c>
      <c r="N1305" t="s">
        <v>5151</v>
      </c>
      <c r="O1305" s="5">
        <f>DATE(Tabela1[[#This Row],[vigencia ano]],Tabela1[[#This Row],[vigencia mês]],Tabela1[[#This Row],[vigencia dia]])</f>
        <v>50165</v>
      </c>
    </row>
    <row r="1306" spans="1:15" x14ac:dyDescent="0.25">
      <c r="A1306" t="s">
        <v>41</v>
      </c>
      <c r="B1306" t="s">
        <v>5153</v>
      </c>
      <c r="C1306" s="1">
        <v>63121696000124</v>
      </c>
      <c r="D1306" t="s">
        <v>5154</v>
      </c>
      <c r="E1306" t="s">
        <v>5155</v>
      </c>
      <c r="F1306" t="s">
        <v>3</v>
      </c>
      <c r="G1306">
        <v>74370637</v>
      </c>
      <c r="H1306" t="s">
        <v>5156</v>
      </c>
      <c r="I1306" t="s">
        <v>5157</v>
      </c>
      <c r="J1306" t="s">
        <v>56</v>
      </c>
      <c r="K1306">
        <v>7</v>
      </c>
      <c r="L1306">
        <v>27</v>
      </c>
      <c r="M1306">
        <v>2036</v>
      </c>
      <c r="N1306" t="s">
        <v>5158</v>
      </c>
      <c r="O1306" s="5">
        <f>DATE(Tabela1[[#This Row],[vigencia ano]],Tabela1[[#This Row],[vigencia mês]],Tabela1[[#This Row],[vigencia dia]])</f>
        <v>50471</v>
      </c>
    </row>
    <row r="1307" spans="1:15" x14ac:dyDescent="0.25">
      <c r="A1307" t="s">
        <v>41</v>
      </c>
      <c r="B1307" t="s">
        <v>5159</v>
      </c>
      <c r="C1307" s="1">
        <v>10290784000193</v>
      </c>
      <c r="D1307" t="s">
        <v>5160</v>
      </c>
      <c r="E1307" t="s">
        <v>5155</v>
      </c>
      <c r="F1307" t="s">
        <v>3</v>
      </c>
      <c r="G1307">
        <v>74083150</v>
      </c>
      <c r="H1307" t="s">
        <v>5161</v>
      </c>
      <c r="I1307" t="s">
        <v>5162</v>
      </c>
      <c r="J1307" t="s">
        <v>56</v>
      </c>
      <c r="K1307">
        <v>6</v>
      </c>
      <c r="L1307">
        <v>10</v>
      </c>
      <c r="M1307">
        <v>2025</v>
      </c>
      <c r="N1307" t="s">
        <v>47</v>
      </c>
      <c r="O1307" s="5">
        <f>DATE(Tabela1[[#This Row],[vigencia ano]],Tabela1[[#This Row],[vigencia mês]],Tabela1[[#This Row],[vigencia dia]])</f>
        <v>45936</v>
      </c>
    </row>
    <row r="1308" spans="1:15" x14ac:dyDescent="0.25">
      <c r="A1308" t="s">
        <v>41</v>
      </c>
      <c r="B1308" t="s">
        <v>5163</v>
      </c>
      <c r="C1308" s="1">
        <v>2218581000168</v>
      </c>
      <c r="D1308" t="s">
        <v>5164</v>
      </c>
      <c r="E1308" t="s">
        <v>5155</v>
      </c>
      <c r="F1308" t="s">
        <v>3</v>
      </c>
      <c r="G1308">
        <v>74445360</v>
      </c>
      <c r="H1308" t="s">
        <v>5165</v>
      </c>
      <c r="I1308" t="s">
        <v>5166</v>
      </c>
      <c r="J1308" t="s">
        <v>56</v>
      </c>
      <c r="K1308">
        <v>11</v>
      </c>
      <c r="L1308">
        <v>4</v>
      </c>
      <c r="M1308">
        <v>2025</v>
      </c>
      <c r="N1308" t="s">
        <v>47</v>
      </c>
      <c r="O1308" s="5">
        <f>DATE(Tabela1[[#This Row],[vigencia ano]],Tabela1[[#This Row],[vigencia mês]],Tabela1[[#This Row],[vigencia dia]])</f>
        <v>45758</v>
      </c>
    </row>
    <row r="1309" spans="1:15" x14ac:dyDescent="0.25">
      <c r="A1309" t="s">
        <v>41</v>
      </c>
      <c r="B1309" t="s">
        <v>5167</v>
      </c>
      <c r="C1309" s="1">
        <v>11432709000182</v>
      </c>
      <c r="D1309" t="s">
        <v>5168</v>
      </c>
      <c r="E1309" t="s">
        <v>5155</v>
      </c>
      <c r="F1309" t="s">
        <v>3</v>
      </c>
      <c r="G1309">
        <v>74620030</v>
      </c>
      <c r="H1309" t="s">
        <v>1349</v>
      </c>
      <c r="I1309" t="s">
        <v>5169</v>
      </c>
      <c r="J1309" t="s">
        <v>56</v>
      </c>
      <c r="K1309">
        <v>7</v>
      </c>
      <c r="L1309">
        <v>9</v>
      </c>
      <c r="M1309">
        <v>2025</v>
      </c>
      <c r="N1309" t="s">
        <v>47</v>
      </c>
      <c r="O1309" s="5">
        <f>DATE(Tabela1[[#This Row],[vigencia ano]],Tabela1[[#This Row],[vigencia mês]],Tabela1[[#This Row],[vigencia dia]])</f>
        <v>45907</v>
      </c>
    </row>
    <row r="1310" spans="1:15" x14ac:dyDescent="0.25">
      <c r="A1310" t="s">
        <v>41</v>
      </c>
      <c r="B1310" t="s">
        <v>5170</v>
      </c>
      <c r="C1310" s="1">
        <v>9454434000136</v>
      </c>
      <c r="D1310" t="s">
        <v>5171</v>
      </c>
      <c r="E1310" t="s">
        <v>5155</v>
      </c>
      <c r="F1310" t="s">
        <v>3</v>
      </c>
      <c r="G1310">
        <v>74369023</v>
      </c>
      <c r="H1310" t="s">
        <v>5172</v>
      </c>
      <c r="I1310" t="s">
        <v>5173</v>
      </c>
      <c r="J1310" t="s">
        <v>56</v>
      </c>
      <c r="K1310">
        <v>2</v>
      </c>
      <c r="L1310">
        <v>19</v>
      </c>
      <c r="M1310">
        <v>2028</v>
      </c>
      <c r="N1310" t="s">
        <v>47</v>
      </c>
      <c r="O1310" s="5">
        <f>DATE(Tabela1[[#This Row],[vigencia ano]],Tabela1[[#This Row],[vigencia mês]],Tabela1[[#This Row],[vigencia dia]])</f>
        <v>47301</v>
      </c>
    </row>
    <row r="1311" spans="1:15" x14ac:dyDescent="0.25">
      <c r="A1311" t="s">
        <v>41</v>
      </c>
      <c r="B1311" t="s">
        <v>5174</v>
      </c>
      <c r="C1311" s="1">
        <v>26594755000155</v>
      </c>
      <c r="D1311" t="s">
        <v>5175</v>
      </c>
      <c r="E1311" t="s">
        <v>5155</v>
      </c>
      <c r="F1311" t="s">
        <v>3</v>
      </c>
      <c r="G1311">
        <v>74786468</v>
      </c>
      <c r="H1311" t="s">
        <v>5176</v>
      </c>
      <c r="I1311" t="s">
        <v>5177</v>
      </c>
      <c r="J1311" t="s">
        <v>56</v>
      </c>
      <c r="K1311">
        <v>7</v>
      </c>
      <c r="L1311">
        <v>11</v>
      </c>
      <c r="M1311">
        <v>2029</v>
      </c>
      <c r="N1311" t="s">
        <v>47</v>
      </c>
      <c r="O1311" s="5">
        <f>DATE(Tabela1[[#This Row],[vigencia ano]],Tabela1[[#This Row],[vigencia mês]],Tabela1[[#This Row],[vigencia dia]])</f>
        <v>47429</v>
      </c>
    </row>
    <row r="1312" spans="1:15" x14ac:dyDescent="0.25">
      <c r="A1312" t="s">
        <v>41</v>
      </c>
      <c r="B1312" t="s">
        <v>5178</v>
      </c>
      <c r="C1312" s="1">
        <v>10428965000133</v>
      </c>
      <c r="D1312" t="s">
        <v>5179</v>
      </c>
      <c r="E1312" t="s">
        <v>5155</v>
      </c>
      <c r="F1312" t="s">
        <v>3</v>
      </c>
      <c r="G1312">
        <v>74672450</v>
      </c>
      <c r="H1312" t="s">
        <v>5180</v>
      </c>
      <c r="I1312" t="s">
        <v>5181</v>
      </c>
      <c r="J1312" t="s">
        <v>56</v>
      </c>
      <c r="K1312">
        <v>4</v>
      </c>
      <c r="L1312">
        <v>4</v>
      </c>
      <c r="M1312">
        <v>2033</v>
      </c>
      <c r="N1312" t="s">
        <v>47</v>
      </c>
      <c r="O1312" s="5">
        <f>DATE(Tabela1[[#This Row],[vigencia ano]],Tabela1[[#This Row],[vigencia mês]],Tabela1[[#This Row],[vigencia dia]])</f>
        <v>48673</v>
      </c>
    </row>
    <row r="1313" spans="1:15" x14ac:dyDescent="0.25">
      <c r="A1313" t="s">
        <v>41</v>
      </c>
      <c r="B1313" t="s">
        <v>5182</v>
      </c>
      <c r="C1313" s="1">
        <v>27822236000160</v>
      </c>
      <c r="D1313" t="s">
        <v>5183</v>
      </c>
      <c r="E1313" t="s">
        <v>5155</v>
      </c>
      <c r="F1313" t="s">
        <v>3</v>
      </c>
      <c r="G1313">
        <v>74810100</v>
      </c>
      <c r="H1313" t="s">
        <v>5184</v>
      </c>
      <c r="I1313" t="s">
        <v>5185</v>
      </c>
      <c r="J1313" t="s">
        <v>56</v>
      </c>
      <c r="K1313">
        <v>5</v>
      </c>
      <c r="L1313">
        <v>8</v>
      </c>
      <c r="M1313">
        <v>2028</v>
      </c>
      <c r="N1313" t="s">
        <v>47</v>
      </c>
      <c r="O1313" s="5">
        <f>DATE(Tabela1[[#This Row],[vigencia ano]],Tabela1[[#This Row],[vigencia mês]],Tabela1[[#This Row],[vigencia dia]])</f>
        <v>46970</v>
      </c>
    </row>
    <row r="1314" spans="1:15" x14ac:dyDescent="0.25">
      <c r="A1314" t="s">
        <v>41</v>
      </c>
      <c r="B1314" t="s">
        <v>5186</v>
      </c>
      <c r="C1314" s="1">
        <v>4283508000103</v>
      </c>
      <c r="D1314" t="s">
        <v>5187</v>
      </c>
      <c r="E1314" t="s">
        <v>5155</v>
      </c>
      <c r="F1314" t="s">
        <v>3</v>
      </c>
      <c r="G1314">
        <v>74333100</v>
      </c>
      <c r="H1314" t="s">
        <v>5188</v>
      </c>
      <c r="I1314" t="s">
        <v>5189</v>
      </c>
      <c r="J1314" t="s">
        <v>46</v>
      </c>
      <c r="K1314">
        <v>9</v>
      </c>
      <c r="L1314">
        <v>12</v>
      </c>
      <c r="M1314">
        <v>2032</v>
      </c>
      <c r="N1314" t="s">
        <v>47</v>
      </c>
      <c r="O1314" s="5">
        <f>DATE(Tabela1[[#This Row],[vigencia ano]],Tabela1[[#This Row],[vigencia mês]],Tabela1[[#This Row],[vigencia dia]])</f>
        <v>48557</v>
      </c>
    </row>
    <row r="1315" spans="1:15" x14ac:dyDescent="0.25">
      <c r="A1315" t="s">
        <v>41</v>
      </c>
      <c r="B1315" t="s">
        <v>5190</v>
      </c>
      <c r="C1315" s="1">
        <v>9471261000164</v>
      </c>
      <c r="D1315" t="s">
        <v>5191</v>
      </c>
      <c r="E1315" t="s">
        <v>5155</v>
      </c>
      <c r="F1315" t="s">
        <v>3</v>
      </c>
      <c r="G1315">
        <v>74375280</v>
      </c>
      <c r="H1315" t="s">
        <v>5192</v>
      </c>
      <c r="I1315" t="s">
        <v>5193</v>
      </c>
      <c r="J1315" t="s">
        <v>56</v>
      </c>
      <c r="K1315">
        <v>9</v>
      </c>
      <c r="L1315">
        <v>19</v>
      </c>
      <c r="M1315">
        <v>2022</v>
      </c>
      <c r="N1315" t="s">
        <v>47</v>
      </c>
      <c r="O1315" s="5">
        <f>DATE(Tabela1[[#This Row],[vigencia ano]],Tabela1[[#This Row],[vigencia mês]],Tabela1[[#This Row],[vigencia dia]])</f>
        <v>45116</v>
      </c>
    </row>
    <row r="1316" spans="1:15" x14ac:dyDescent="0.25">
      <c r="A1316" t="s">
        <v>41</v>
      </c>
      <c r="B1316" t="s">
        <v>5194</v>
      </c>
      <c r="C1316" s="1">
        <v>21429811000182</v>
      </c>
      <c r="D1316" t="s">
        <v>5195</v>
      </c>
      <c r="E1316" t="s">
        <v>5155</v>
      </c>
      <c r="F1316" t="s">
        <v>3</v>
      </c>
      <c r="G1316">
        <v>74375280</v>
      </c>
      <c r="H1316" t="s">
        <v>5196</v>
      </c>
      <c r="I1316" t="s">
        <v>5197</v>
      </c>
      <c r="J1316" t="s">
        <v>56</v>
      </c>
      <c r="K1316">
        <v>12</v>
      </c>
      <c r="L1316">
        <v>16</v>
      </c>
      <c r="M1316">
        <v>2026</v>
      </c>
      <c r="N1316" t="s">
        <v>47</v>
      </c>
      <c r="O1316" s="5">
        <f>DATE(Tabela1[[#This Row],[vigencia ano]],Tabela1[[#This Row],[vigencia mês]],Tabela1[[#This Row],[vigencia dia]])</f>
        <v>46489</v>
      </c>
    </row>
    <row r="1317" spans="1:15" x14ac:dyDescent="0.25">
      <c r="A1317" t="s">
        <v>41</v>
      </c>
      <c r="B1317" t="s">
        <v>5198</v>
      </c>
      <c r="C1317" s="1">
        <v>32095114000159</v>
      </c>
      <c r="D1317" t="s">
        <v>5199</v>
      </c>
      <c r="E1317" t="s">
        <v>5155</v>
      </c>
      <c r="F1317" t="s">
        <v>3</v>
      </c>
      <c r="G1317">
        <v>74670020</v>
      </c>
      <c r="H1317" t="s">
        <v>5200</v>
      </c>
      <c r="I1317" t="s">
        <v>5201</v>
      </c>
      <c r="J1317" t="s">
        <v>56</v>
      </c>
      <c r="K1317">
        <v>7</v>
      </c>
      <c r="L1317">
        <v>26</v>
      </c>
      <c r="M1317">
        <v>2031</v>
      </c>
      <c r="N1317" t="s">
        <v>47</v>
      </c>
      <c r="O1317" s="5">
        <f>DATE(Tabela1[[#This Row],[vigencia ano]],Tabela1[[#This Row],[vigencia mês]],Tabela1[[#This Row],[vigencia dia]])</f>
        <v>48617</v>
      </c>
    </row>
    <row r="1318" spans="1:15" x14ac:dyDescent="0.25">
      <c r="A1318" t="s">
        <v>41</v>
      </c>
      <c r="B1318" t="s">
        <v>5202</v>
      </c>
      <c r="C1318" s="1">
        <v>45748396000198</v>
      </c>
      <c r="D1318" t="s">
        <v>5203</v>
      </c>
      <c r="E1318" t="s">
        <v>5155</v>
      </c>
      <c r="F1318" t="s">
        <v>3</v>
      </c>
      <c r="G1318">
        <v>74670110</v>
      </c>
      <c r="H1318" t="s">
        <v>5204</v>
      </c>
      <c r="I1318" t="s">
        <v>5205</v>
      </c>
      <c r="J1318" t="s">
        <v>56</v>
      </c>
      <c r="K1318">
        <v>8</v>
      </c>
      <c r="L1318">
        <v>30</v>
      </c>
      <c r="M1318">
        <v>2032</v>
      </c>
      <c r="N1318" t="s">
        <v>47</v>
      </c>
      <c r="O1318" s="5">
        <f>DATE(Tabela1[[#This Row],[vigencia ano]],Tabela1[[#This Row],[vigencia mês]],Tabela1[[#This Row],[vigencia dia]])</f>
        <v>49103</v>
      </c>
    </row>
    <row r="1319" spans="1:15" x14ac:dyDescent="0.25">
      <c r="A1319" t="s">
        <v>41</v>
      </c>
      <c r="B1319" t="s">
        <v>5206</v>
      </c>
      <c r="C1319" s="1">
        <v>5878120000100</v>
      </c>
      <c r="D1319" t="s">
        <v>5207</v>
      </c>
      <c r="E1319" t="s">
        <v>5155</v>
      </c>
      <c r="F1319" t="s">
        <v>3</v>
      </c>
      <c r="G1319">
        <v>74665510</v>
      </c>
      <c r="H1319" t="s">
        <v>5208</v>
      </c>
      <c r="I1319" t="s">
        <v>5209</v>
      </c>
      <c r="J1319" t="s">
        <v>46</v>
      </c>
      <c r="K1319">
        <v>6</v>
      </c>
      <c r="L1319">
        <v>24</v>
      </c>
      <c r="M1319">
        <v>2024</v>
      </c>
      <c r="N1319" t="s">
        <v>47</v>
      </c>
      <c r="O1319" s="5">
        <f>DATE(Tabela1[[#This Row],[vigencia ano]],Tabela1[[#This Row],[vigencia mês]],Tabela1[[#This Row],[vigencia dia]])</f>
        <v>45997</v>
      </c>
    </row>
    <row r="1320" spans="1:15" x14ac:dyDescent="0.25">
      <c r="A1320" t="s">
        <v>41</v>
      </c>
      <c r="B1320" t="s">
        <v>5210</v>
      </c>
      <c r="C1320" s="1">
        <v>80671000100</v>
      </c>
      <c r="D1320" t="s">
        <v>5211</v>
      </c>
      <c r="E1320" t="s">
        <v>5212</v>
      </c>
      <c r="F1320" t="s">
        <v>3</v>
      </c>
      <c r="G1320">
        <v>75503970</v>
      </c>
      <c r="H1320" t="s">
        <v>5213</v>
      </c>
      <c r="I1320" t="s">
        <v>5214</v>
      </c>
      <c r="J1320" t="s">
        <v>56</v>
      </c>
      <c r="K1320">
        <v>5</v>
      </c>
      <c r="L1320">
        <v>8</v>
      </c>
      <c r="M1320">
        <v>2028</v>
      </c>
      <c r="N1320" t="s">
        <v>47</v>
      </c>
      <c r="O1320" s="5">
        <f>DATE(Tabela1[[#This Row],[vigencia ano]],Tabela1[[#This Row],[vigencia mês]],Tabela1[[#This Row],[vigencia dia]])</f>
        <v>46970</v>
      </c>
    </row>
    <row r="1321" spans="1:15" x14ac:dyDescent="0.25">
      <c r="A1321" t="s">
        <v>41</v>
      </c>
      <c r="B1321" t="s">
        <v>5215</v>
      </c>
      <c r="C1321" s="1">
        <v>8289975000193</v>
      </c>
      <c r="D1321" t="s">
        <v>5216</v>
      </c>
      <c r="E1321" t="s">
        <v>5212</v>
      </c>
      <c r="F1321" t="s">
        <v>3</v>
      </c>
      <c r="G1321">
        <v>75503970</v>
      </c>
      <c r="H1321" t="s">
        <v>5217</v>
      </c>
      <c r="I1321" t="s">
        <v>5218</v>
      </c>
      <c r="J1321" t="s">
        <v>56</v>
      </c>
      <c r="K1321">
        <v>7</v>
      </c>
      <c r="L1321">
        <v>23</v>
      </c>
      <c r="M1321">
        <v>2031</v>
      </c>
      <c r="N1321" t="s">
        <v>47</v>
      </c>
      <c r="O1321" s="5">
        <f>DATE(Tabela1[[#This Row],[vigencia ano]],Tabela1[[#This Row],[vigencia mês]],Tabela1[[#This Row],[vigencia dia]])</f>
        <v>48525</v>
      </c>
    </row>
    <row r="1322" spans="1:15" x14ac:dyDescent="0.25">
      <c r="A1322" t="s">
        <v>41</v>
      </c>
      <c r="B1322" t="s">
        <v>5219</v>
      </c>
      <c r="C1322" s="1">
        <v>16384395000103</v>
      </c>
      <c r="D1322" t="s">
        <v>5220</v>
      </c>
      <c r="E1322" t="s">
        <v>5221</v>
      </c>
      <c r="F1322" t="s">
        <v>3</v>
      </c>
      <c r="G1322">
        <v>75460000</v>
      </c>
      <c r="H1322" t="s">
        <v>5222</v>
      </c>
      <c r="I1322" t="s">
        <v>5223</v>
      </c>
      <c r="J1322" t="s">
        <v>56</v>
      </c>
      <c r="K1322">
        <v>12</v>
      </c>
      <c r="L1322">
        <v>6</v>
      </c>
      <c r="M1322">
        <v>2022</v>
      </c>
      <c r="N1322" t="s">
        <v>47</v>
      </c>
      <c r="O1322" s="5">
        <f>DATE(Tabela1[[#This Row],[vigencia ano]],Tabela1[[#This Row],[vigencia mês]],Tabela1[[#This Row],[vigencia dia]])</f>
        <v>44724</v>
      </c>
    </row>
    <row r="1323" spans="1:15" x14ac:dyDescent="0.25">
      <c r="A1323" t="s">
        <v>41</v>
      </c>
      <c r="B1323" t="s">
        <v>5224</v>
      </c>
      <c r="C1323" s="1">
        <v>12545741000137</v>
      </c>
      <c r="D1323" t="s">
        <v>5225</v>
      </c>
      <c r="E1323" t="s">
        <v>5226</v>
      </c>
      <c r="F1323" t="s">
        <v>3</v>
      </c>
      <c r="G1323">
        <v>75890000</v>
      </c>
      <c r="H1323" t="s">
        <v>5227</v>
      </c>
      <c r="I1323" t="s">
        <v>5228</v>
      </c>
      <c r="J1323" t="s">
        <v>46</v>
      </c>
      <c r="K1323">
        <v>8</v>
      </c>
      <c r="L1323">
        <v>28</v>
      </c>
      <c r="M1323">
        <v>2022</v>
      </c>
      <c r="N1323" t="s">
        <v>47</v>
      </c>
      <c r="O1323" s="5">
        <f>DATE(Tabela1[[#This Row],[vigencia ano]],Tabela1[[#This Row],[vigencia mês]],Tabela1[[#This Row],[vigencia dia]])</f>
        <v>45390</v>
      </c>
    </row>
    <row r="1324" spans="1:15" x14ac:dyDescent="0.25">
      <c r="A1324" t="s">
        <v>41</v>
      </c>
      <c r="B1324" t="s">
        <v>5229</v>
      </c>
      <c r="C1324" s="1">
        <v>79053559000130</v>
      </c>
      <c r="D1324" t="s">
        <v>5230</v>
      </c>
      <c r="E1324" t="s">
        <v>5226</v>
      </c>
      <c r="F1324" t="s">
        <v>3</v>
      </c>
      <c r="G1324">
        <v>75890000</v>
      </c>
      <c r="H1324" t="s">
        <v>5231</v>
      </c>
      <c r="I1324" t="s">
        <v>5232</v>
      </c>
      <c r="J1324" t="s">
        <v>56</v>
      </c>
      <c r="K1324">
        <v>8</v>
      </c>
      <c r="L1324">
        <v>5</v>
      </c>
      <c r="M1324">
        <v>2024</v>
      </c>
      <c r="N1324" t="s">
        <v>47</v>
      </c>
      <c r="O1324" s="5">
        <f>DATE(Tabela1[[#This Row],[vigencia ano]],Tabela1[[#This Row],[vigencia mês]],Tabela1[[#This Row],[vigencia dia]])</f>
        <v>45420</v>
      </c>
    </row>
    <row r="1325" spans="1:15" x14ac:dyDescent="0.25">
      <c r="A1325" t="s">
        <v>41</v>
      </c>
      <c r="B1325" t="s">
        <v>5233</v>
      </c>
      <c r="C1325" s="1">
        <v>2609844000160</v>
      </c>
      <c r="D1325" t="s">
        <v>5234</v>
      </c>
      <c r="E1325" t="s">
        <v>5235</v>
      </c>
      <c r="F1325" t="s">
        <v>2</v>
      </c>
      <c r="G1325">
        <v>71976300</v>
      </c>
      <c r="H1325" t="s">
        <v>5236</v>
      </c>
      <c r="I1325" t="s">
        <v>5237</v>
      </c>
      <c r="J1325" t="s">
        <v>56</v>
      </c>
      <c r="K1325">
        <v>4</v>
      </c>
      <c r="L1325">
        <v>6</v>
      </c>
      <c r="M1325">
        <v>2033</v>
      </c>
      <c r="N1325" t="s">
        <v>47</v>
      </c>
      <c r="O1325" s="5">
        <f>DATE(Tabela1[[#This Row],[vigencia ano]],Tabela1[[#This Row],[vigencia mês]],Tabela1[[#This Row],[vigencia dia]])</f>
        <v>48734</v>
      </c>
    </row>
    <row r="1326" spans="1:15" x14ac:dyDescent="0.25">
      <c r="A1326" t="s">
        <v>41</v>
      </c>
      <c r="B1326" t="s">
        <v>5238</v>
      </c>
      <c r="C1326" s="1">
        <v>38213388000181</v>
      </c>
      <c r="D1326" t="s">
        <v>5239</v>
      </c>
      <c r="E1326" t="s">
        <v>5235</v>
      </c>
      <c r="F1326" t="s">
        <v>2</v>
      </c>
      <c r="G1326">
        <v>71608900</v>
      </c>
      <c r="H1326" t="s">
        <v>5240</v>
      </c>
      <c r="I1326" t="s">
        <v>5241</v>
      </c>
      <c r="J1326" t="s">
        <v>56</v>
      </c>
      <c r="K1326">
        <v>3</v>
      </c>
      <c r="L1326">
        <v>7</v>
      </c>
      <c r="M1326">
        <v>2032</v>
      </c>
      <c r="N1326" t="s">
        <v>47</v>
      </c>
      <c r="O1326" s="5">
        <f>DATE(Tabela1[[#This Row],[vigencia ano]],Tabela1[[#This Row],[vigencia mês]],Tabela1[[#This Row],[vigencia dia]])</f>
        <v>48398</v>
      </c>
    </row>
    <row r="1327" spans="1:15" x14ac:dyDescent="0.25">
      <c r="A1327" t="s">
        <v>41</v>
      </c>
      <c r="B1327" t="s">
        <v>5242</v>
      </c>
      <c r="C1327" s="1">
        <v>32677002000106</v>
      </c>
      <c r="D1327" t="s">
        <v>5243</v>
      </c>
      <c r="E1327" t="s">
        <v>5235</v>
      </c>
      <c r="F1327" t="s">
        <v>2</v>
      </c>
      <c r="G1327">
        <v>71608900</v>
      </c>
      <c r="H1327" t="s">
        <v>5244</v>
      </c>
      <c r="I1327" t="s">
        <v>5245</v>
      </c>
      <c r="J1327" t="s">
        <v>56</v>
      </c>
      <c r="K1327">
        <v>7</v>
      </c>
      <c r="L1327">
        <v>28</v>
      </c>
      <c r="M1327">
        <v>2030</v>
      </c>
      <c r="N1327" t="s">
        <v>47</v>
      </c>
      <c r="O1327" s="5">
        <f>DATE(Tabela1[[#This Row],[vigencia ano]],Tabela1[[#This Row],[vigencia mês]],Tabela1[[#This Row],[vigencia dia]])</f>
        <v>48311</v>
      </c>
    </row>
    <row r="1328" spans="1:15" x14ac:dyDescent="0.25">
      <c r="A1328" t="s">
        <v>41</v>
      </c>
      <c r="B1328" t="s">
        <v>5246</v>
      </c>
      <c r="C1328" s="1">
        <v>10692684000193</v>
      </c>
      <c r="D1328" t="s">
        <v>5247</v>
      </c>
      <c r="E1328" t="s">
        <v>5235</v>
      </c>
      <c r="F1328" t="s">
        <v>2</v>
      </c>
      <c r="G1328">
        <v>72110880</v>
      </c>
      <c r="H1328" t="s">
        <v>5248</v>
      </c>
      <c r="I1328" t="s">
        <v>5249</v>
      </c>
      <c r="J1328" t="s">
        <v>56</v>
      </c>
      <c r="K1328">
        <v>12</v>
      </c>
      <c r="L1328">
        <v>6</v>
      </c>
      <c r="M1328">
        <v>2022</v>
      </c>
      <c r="N1328" t="s">
        <v>47</v>
      </c>
      <c r="O1328" s="5">
        <f>DATE(Tabela1[[#This Row],[vigencia ano]],Tabela1[[#This Row],[vigencia mês]],Tabela1[[#This Row],[vigencia dia]])</f>
        <v>44724</v>
      </c>
    </row>
    <row r="1329" spans="1:15" x14ac:dyDescent="0.25">
      <c r="A1329" t="s">
        <v>41</v>
      </c>
      <c r="B1329" t="s">
        <v>5250</v>
      </c>
      <c r="C1329" s="1">
        <v>10389861000167</v>
      </c>
      <c r="D1329" t="s">
        <v>5251</v>
      </c>
      <c r="E1329" t="s">
        <v>5235</v>
      </c>
      <c r="F1329" t="s">
        <v>2</v>
      </c>
      <c r="G1329">
        <v>72320567</v>
      </c>
      <c r="H1329" t="s">
        <v>5252</v>
      </c>
      <c r="I1329" t="s">
        <v>5253</v>
      </c>
      <c r="J1329" t="s">
        <v>56</v>
      </c>
      <c r="K1329">
        <v>9</v>
      </c>
      <c r="L1329">
        <v>19</v>
      </c>
      <c r="M1329">
        <v>2022</v>
      </c>
      <c r="N1329" t="s">
        <v>47</v>
      </c>
      <c r="O1329" s="5">
        <f>DATE(Tabela1[[#This Row],[vigencia ano]],Tabela1[[#This Row],[vigencia mês]],Tabela1[[#This Row],[vigencia dia]])</f>
        <v>45116</v>
      </c>
    </row>
    <row r="1330" spans="1:15" x14ac:dyDescent="0.25">
      <c r="A1330" t="s">
        <v>41</v>
      </c>
      <c r="B1330" t="s">
        <v>5254</v>
      </c>
      <c r="C1330" s="1">
        <v>8355816000140</v>
      </c>
      <c r="D1330" t="s">
        <v>5255</v>
      </c>
      <c r="E1330" t="s">
        <v>5235</v>
      </c>
      <c r="F1330" t="s">
        <v>2</v>
      </c>
      <c r="G1330">
        <v>71250725</v>
      </c>
      <c r="H1330" t="s">
        <v>5256</v>
      </c>
      <c r="I1330" t="s">
        <v>5257</v>
      </c>
      <c r="J1330" t="s">
        <v>56</v>
      </c>
      <c r="K1330">
        <v>5</v>
      </c>
      <c r="L1330">
        <v>30</v>
      </c>
      <c r="M1330">
        <v>2033</v>
      </c>
      <c r="N1330" t="s">
        <v>47</v>
      </c>
      <c r="O1330" s="5">
        <f>DATE(Tabela1[[#This Row],[vigencia ano]],Tabela1[[#This Row],[vigencia mês]],Tabela1[[#This Row],[vigencia dia]])</f>
        <v>49465</v>
      </c>
    </row>
    <row r="1331" spans="1:15" x14ac:dyDescent="0.25">
      <c r="A1331" t="s">
        <v>41</v>
      </c>
      <c r="B1331" t="s">
        <v>5258</v>
      </c>
      <c r="C1331" s="1">
        <v>32915001000152</v>
      </c>
      <c r="D1331" t="s">
        <v>5259</v>
      </c>
      <c r="E1331" t="s">
        <v>5235</v>
      </c>
      <c r="F1331" t="s">
        <v>2</v>
      </c>
      <c r="G1331">
        <v>71225531</v>
      </c>
      <c r="H1331" t="s">
        <v>5260</v>
      </c>
      <c r="I1331" t="s">
        <v>5261</v>
      </c>
      <c r="J1331" t="s">
        <v>56</v>
      </c>
      <c r="K1331">
        <v>4</v>
      </c>
      <c r="L1331">
        <v>29</v>
      </c>
      <c r="M1331">
        <v>2034</v>
      </c>
      <c r="N1331" t="s">
        <v>47</v>
      </c>
      <c r="O1331" s="5">
        <f>DATE(Tabela1[[#This Row],[vigencia ano]],Tabela1[[#This Row],[vigencia mês]],Tabela1[[#This Row],[vigencia dia]])</f>
        <v>49799</v>
      </c>
    </row>
    <row r="1332" spans="1:15" x14ac:dyDescent="0.25">
      <c r="A1332" t="s">
        <v>41</v>
      </c>
      <c r="B1332" t="s">
        <v>5262</v>
      </c>
      <c r="C1332" s="1">
        <v>11292432000130</v>
      </c>
      <c r="D1332" t="s">
        <v>5263</v>
      </c>
      <c r="E1332" t="s">
        <v>5235</v>
      </c>
      <c r="F1332" t="s">
        <v>2</v>
      </c>
      <c r="G1332">
        <v>71225531</v>
      </c>
      <c r="H1332" t="s">
        <v>5264</v>
      </c>
      <c r="I1332" t="s">
        <v>5265</v>
      </c>
      <c r="J1332" t="s">
        <v>56</v>
      </c>
      <c r="K1332">
        <v>11</v>
      </c>
      <c r="L1332">
        <v>29</v>
      </c>
      <c r="M1332">
        <v>2033</v>
      </c>
      <c r="N1332" t="s">
        <v>47</v>
      </c>
      <c r="O1332" s="5">
        <f>DATE(Tabela1[[#This Row],[vigencia ano]],Tabela1[[#This Row],[vigencia mês]],Tabela1[[#This Row],[vigencia dia]])</f>
        <v>49440</v>
      </c>
    </row>
    <row r="1333" spans="1:15" x14ac:dyDescent="0.25">
      <c r="A1333" t="s">
        <v>41</v>
      </c>
      <c r="B1333" t="s">
        <v>5266</v>
      </c>
      <c r="C1333" s="1">
        <v>33373231000108</v>
      </c>
      <c r="D1333" t="s">
        <v>5267</v>
      </c>
      <c r="E1333" t="s">
        <v>5235</v>
      </c>
      <c r="F1333" t="s">
        <v>2</v>
      </c>
      <c r="G1333">
        <v>71608900</v>
      </c>
      <c r="H1333" t="s">
        <v>5268</v>
      </c>
      <c r="I1333" t="s">
        <v>5269</v>
      </c>
      <c r="J1333" t="s">
        <v>56</v>
      </c>
      <c r="K1333">
        <v>5</v>
      </c>
      <c r="L1333">
        <v>18</v>
      </c>
      <c r="M1333">
        <v>2030</v>
      </c>
      <c r="N1333" t="s">
        <v>47</v>
      </c>
      <c r="O1333" s="5">
        <f>DATE(Tabela1[[#This Row],[vigencia ano]],Tabela1[[#This Row],[vigencia mês]],Tabela1[[#This Row],[vigencia dia]])</f>
        <v>48004</v>
      </c>
    </row>
    <row r="1334" spans="1:15" x14ac:dyDescent="0.25">
      <c r="A1334" t="s">
        <v>41</v>
      </c>
      <c r="B1334" t="s">
        <v>5270</v>
      </c>
      <c r="C1334" s="1">
        <v>14146786000164</v>
      </c>
      <c r="D1334" t="s">
        <v>5271</v>
      </c>
      <c r="E1334" t="s">
        <v>5235</v>
      </c>
      <c r="F1334" t="s">
        <v>2</v>
      </c>
      <c r="G1334">
        <v>71991140</v>
      </c>
      <c r="H1334" t="s">
        <v>5272</v>
      </c>
      <c r="I1334" t="s">
        <v>5273</v>
      </c>
      <c r="J1334" t="s">
        <v>56</v>
      </c>
      <c r="K1334">
        <v>8</v>
      </c>
      <c r="L1334">
        <v>26</v>
      </c>
      <c r="M1334">
        <v>2023</v>
      </c>
      <c r="N1334" t="s">
        <v>47</v>
      </c>
      <c r="O1334" s="5">
        <f>DATE(Tabela1[[#This Row],[vigencia ano]],Tabela1[[#This Row],[vigencia mês]],Tabela1[[#This Row],[vigencia dia]])</f>
        <v>45696</v>
      </c>
    </row>
    <row r="1335" spans="1:15" x14ac:dyDescent="0.25">
      <c r="A1335" t="s">
        <v>41</v>
      </c>
      <c r="B1335" t="s">
        <v>5274</v>
      </c>
      <c r="C1335" s="1">
        <v>42505083000110</v>
      </c>
      <c r="D1335" t="s">
        <v>5275</v>
      </c>
      <c r="E1335" t="s">
        <v>5235</v>
      </c>
      <c r="F1335" t="s">
        <v>2</v>
      </c>
      <c r="G1335">
        <v>70381525</v>
      </c>
      <c r="H1335" t="s">
        <v>5276</v>
      </c>
      <c r="I1335" t="s">
        <v>5277</v>
      </c>
      <c r="J1335" t="s">
        <v>46</v>
      </c>
      <c r="K1335">
        <v>9</v>
      </c>
      <c r="L1335">
        <v>2</v>
      </c>
      <c r="M1335">
        <v>2032</v>
      </c>
      <c r="N1335" t="s">
        <v>47</v>
      </c>
      <c r="O1335" s="5">
        <f>DATE(Tabela1[[#This Row],[vigencia ano]],Tabela1[[#This Row],[vigencia mês]],Tabela1[[#This Row],[vigencia dia]])</f>
        <v>48253</v>
      </c>
    </row>
    <row r="1336" spans="1:15" x14ac:dyDescent="0.25">
      <c r="A1336" t="s">
        <v>41</v>
      </c>
      <c r="B1336" t="s">
        <v>5278</v>
      </c>
      <c r="C1336" s="1">
        <v>8489292000180</v>
      </c>
      <c r="D1336" t="s">
        <v>5279</v>
      </c>
      <c r="E1336" t="s">
        <v>5235</v>
      </c>
      <c r="F1336" t="s">
        <v>2</v>
      </c>
      <c r="G1336">
        <v>71225513</v>
      </c>
      <c r="H1336" t="s">
        <v>5280</v>
      </c>
      <c r="I1336" t="s">
        <v>5281</v>
      </c>
      <c r="J1336" t="s">
        <v>56</v>
      </c>
      <c r="K1336">
        <v>9</v>
      </c>
      <c r="L1336">
        <v>9</v>
      </c>
      <c r="M1336">
        <v>2025</v>
      </c>
      <c r="N1336" t="s">
        <v>47</v>
      </c>
      <c r="O1336" s="5">
        <f>DATE(Tabela1[[#This Row],[vigencia ano]],Tabela1[[#This Row],[vigencia mês]],Tabela1[[#This Row],[vigencia dia]])</f>
        <v>45909</v>
      </c>
    </row>
    <row r="1337" spans="1:15" x14ac:dyDescent="0.25">
      <c r="A1337" t="s">
        <v>41</v>
      </c>
      <c r="B1337" t="s">
        <v>5282</v>
      </c>
      <c r="C1337" s="1">
        <v>21260918000140</v>
      </c>
      <c r="D1337" t="s">
        <v>5283</v>
      </c>
      <c r="E1337" t="s">
        <v>5235</v>
      </c>
      <c r="F1337" t="s">
        <v>2</v>
      </c>
      <c r="G1337">
        <v>73100480</v>
      </c>
      <c r="H1337" t="s">
        <v>5284</v>
      </c>
      <c r="I1337" t="s">
        <v>5285</v>
      </c>
      <c r="J1337" t="s">
        <v>56</v>
      </c>
      <c r="K1337">
        <v>12</v>
      </c>
      <c r="L1337">
        <v>1</v>
      </c>
      <c r="M1337">
        <v>2025</v>
      </c>
      <c r="N1337" t="s">
        <v>47</v>
      </c>
      <c r="O1337" s="5">
        <f>DATE(Tabela1[[#This Row],[vigencia ano]],Tabela1[[#This Row],[vigencia mês]],Tabela1[[#This Row],[vigencia dia]])</f>
        <v>45669</v>
      </c>
    </row>
    <row r="1338" spans="1:15" x14ac:dyDescent="0.25">
      <c r="A1338" t="s">
        <v>41</v>
      </c>
      <c r="B1338" t="s">
        <v>5286</v>
      </c>
      <c r="C1338" s="1">
        <v>19196536000152</v>
      </c>
      <c r="D1338" t="s">
        <v>5287</v>
      </c>
      <c r="E1338" t="s">
        <v>5235</v>
      </c>
      <c r="F1338" t="s">
        <v>2</v>
      </c>
      <c r="G1338">
        <v>70632320</v>
      </c>
      <c r="H1338" t="s">
        <v>5288</v>
      </c>
      <c r="I1338" t="s">
        <v>5289</v>
      </c>
      <c r="J1338" t="s">
        <v>56</v>
      </c>
      <c r="K1338">
        <v>7</v>
      </c>
      <c r="L1338">
        <v>5</v>
      </c>
      <c r="M1338">
        <v>2028</v>
      </c>
      <c r="N1338" t="s">
        <v>47</v>
      </c>
      <c r="O1338" s="5">
        <f>DATE(Tabela1[[#This Row],[vigencia ano]],Tabela1[[#This Row],[vigencia mês]],Tabela1[[#This Row],[vigencia dia]])</f>
        <v>46880</v>
      </c>
    </row>
    <row r="1339" spans="1:15" x14ac:dyDescent="0.25">
      <c r="A1339" t="s">
        <v>41</v>
      </c>
      <c r="B1339" t="s">
        <v>5290</v>
      </c>
      <c r="C1339" s="1">
        <v>8944556000148</v>
      </c>
      <c r="D1339" t="s">
        <v>5291</v>
      </c>
      <c r="E1339" t="s">
        <v>5235</v>
      </c>
      <c r="F1339" t="s">
        <v>2</v>
      </c>
      <c r="G1339">
        <v>71991140</v>
      </c>
      <c r="H1339" t="s">
        <v>5292</v>
      </c>
      <c r="I1339" t="s">
        <v>5293</v>
      </c>
      <c r="J1339" t="s">
        <v>56</v>
      </c>
      <c r="K1339">
        <v>6</v>
      </c>
      <c r="L1339">
        <v>15</v>
      </c>
      <c r="M1339">
        <v>2032</v>
      </c>
      <c r="N1339" t="s">
        <v>47</v>
      </c>
      <c r="O1339" s="5">
        <f>DATE(Tabela1[[#This Row],[vigencia ano]],Tabela1[[#This Row],[vigencia mês]],Tabela1[[#This Row],[vigencia dia]])</f>
        <v>48644</v>
      </c>
    </row>
    <row r="1340" spans="1:15" x14ac:dyDescent="0.25">
      <c r="A1340" t="s">
        <v>41</v>
      </c>
      <c r="B1340" t="s">
        <v>5294</v>
      </c>
      <c r="C1340" s="1">
        <v>3557312000199</v>
      </c>
      <c r="D1340" t="s">
        <v>5295</v>
      </c>
      <c r="E1340" t="s">
        <v>5235</v>
      </c>
      <c r="F1340" t="s">
        <v>2</v>
      </c>
      <c r="G1340">
        <v>71225530</v>
      </c>
      <c r="H1340" t="s">
        <v>5296</v>
      </c>
      <c r="I1340" t="s">
        <v>5297</v>
      </c>
      <c r="J1340" t="s">
        <v>56</v>
      </c>
      <c r="K1340">
        <v>7</v>
      </c>
      <c r="L1340">
        <v>14</v>
      </c>
      <c r="M1340">
        <v>2030</v>
      </c>
      <c r="N1340" t="s">
        <v>47</v>
      </c>
      <c r="O1340" s="5">
        <f>DATE(Tabela1[[#This Row],[vigencia ano]],Tabela1[[#This Row],[vigencia mês]],Tabela1[[#This Row],[vigencia dia]])</f>
        <v>47886</v>
      </c>
    </row>
    <row r="1341" spans="1:15" x14ac:dyDescent="0.25">
      <c r="A1341" t="s">
        <v>41</v>
      </c>
      <c r="B1341" t="s">
        <v>5298</v>
      </c>
      <c r="C1341" s="1">
        <v>9494407000197</v>
      </c>
      <c r="D1341" t="s">
        <v>5299</v>
      </c>
      <c r="E1341" t="s">
        <v>5235</v>
      </c>
      <c r="F1341" t="s">
        <v>2</v>
      </c>
      <c r="G1341">
        <v>71990360</v>
      </c>
      <c r="H1341" t="s">
        <v>5300</v>
      </c>
      <c r="I1341" t="s">
        <v>5301</v>
      </c>
      <c r="J1341" t="s">
        <v>56</v>
      </c>
      <c r="K1341">
        <v>9</v>
      </c>
      <c r="L1341">
        <v>21</v>
      </c>
      <c r="M1341">
        <v>2030</v>
      </c>
      <c r="N1341" t="s">
        <v>47</v>
      </c>
      <c r="O1341" s="5">
        <f>DATE(Tabela1[[#This Row],[vigencia ano]],Tabela1[[#This Row],[vigencia mês]],Tabela1[[#This Row],[vigencia dia]])</f>
        <v>48100</v>
      </c>
    </row>
    <row r="1342" spans="1:15" x14ac:dyDescent="0.25">
      <c r="A1342" t="s">
        <v>41</v>
      </c>
      <c r="B1342" t="s">
        <v>5302</v>
      </c>
      <c r="C1342" s="1">
        <v>1989087000134</v>
      </c>
      <c r="D1342" t="s">
        <v>5303</v>
      </c>
      <c r="E1342" t="s">
        <v>5235</v>
      </c>
      <c r="F1342" t="s">
        <v>2</v>
      </c>
      <c r="G1342">
        <v>71001970</v>
      </c>
      <c r="H1342" t="s">
        <v>5304</v>
      </c>
      <c r="I1342" t="s">
        <v>5305</v>
      </c>
      <c r="J1342" t="s">
        <v>56</v>
      </c>
      <c r="K1342">
        <v>5</v>
      </c>
      <c r="L1342">
        <v>19</v>
      </c>
      <c r="M1342">
        <v>2032</v>
      </c>
      <c r="N1342" t="s">
        <v>47</v>
      </c>
      <c r="O1342" s="5">
        <f>DATE(Tabela1[[#This Row],[vigencia ano]],Tabela1[[#This Row],[vigencia mês]],Tabela1[[#This Row],[vigencia dia]])</f>
        <v>48765</v>
      </c>
    </row>
    <row r="1343" spans="1:15" x14ac:dyDescent="0.25">
      <c r="A1343" t="s">
        <v>41</v>
      </c>
      <c r="B1343" t="s">
        <v>5306</v>
      </c>
      <c r="C1343" s="1">
        <v>13265187000105</v>
      </c>
      <c r="D1343" t="s">
        <v>5307</v>
      </c>
      <c r="E1343" t="s">
        <v>5235</v>
      </c>
      <c r="F1343" t="s">
        <v>2</v>
      </c>
      <c r="G1343">
        <v>71740702</v>
      </c>
      <c r="H1343" t="s">
        <v>5308</v>
      </c>
      <c r="I1343" t="s">
        <v>5309</v>
      </c>
      <c r="J1343" t="s">
        <v>56</v>
      </c>
      <c r="K1343">
        <v>3</v>
      </c>
      <c r="L1343">
        <v>14</v>
      </c>
      <c r="M1343">
        <v>2023</v>
      </c>
      <c r="N1343" t="s">
        <v>47</v>
      </c>
      <c r="O1343" s="5">
        <f>DATE(Tabela1[[#This Row],[vigencia ano]],Tabela1[[#This Row],[vigencia mês]],Tabela1[[#This Row],[vigencia dia]])</f>
        <v>45325</v>
      </c>
    </row>
    <row r="1344" spans="1:15" x14ac:dyDescent="0.25">
      <c r="A1344" t="s">
        <v>41</v>
      </c>
      <c r="B1344" t="s">
        <v>5310</v>
      </c>
      <c r="C1344" s="1">
        <v>23312012000157</v>
      </c>
      <c r="D1344" t="s">
        <v>5311</v>
      </c>
      <c r="E1344" t="s">
        <v>5235</v>
      </c>
      <c r="F1344" t="s">
        <v>2</v>
      </c>
      <c r="G1344">
        <v>71608900</v>
      </c>
      <c r="H1344" t="s">
        <v>5312</v>
      </c>
      <c r="I1344" t="s">
        <v>5313</v>
      </c>
      <c r="J1344" t="s">
        <v>56</v>
      </c>
      <c r="K1344">
        <v>5</v>
      </c>
      <c r="L1344">
        <v>24</v>
      </c>
      <c r="M1344">
        <v>2032</v>
      </c>
      <c r="N1344" t="s">
        <v>47</v>
      </c>
      <c r="O1344" s="5">
        <f>DATE(Tabela1[[#This Row],[vigencia ano]],Tabela1[[#This Row],[vigencia mês]],Tabela1[[#This Row],[vigencia dia]])</f>
        <v>48918</v>
      </c>
    </row>
    <row r="1345" spans="1:15" x14ac:dyDescent="0.25">
      <c r="A1345" t="s">
        <v>41</v>
      </c>
      <c r="B1345" t="s">
        <v>5314</v>
      </c>
      <c r="C1345" s="1">
        <v>23999118000170</v>
      </c>
      <c r="D1345" t="s">
        <v>5315</v>
      </c>
      <c r="E1345" t="s">
        <v>5235</v>
      </c>
      <c r="F1345" t="s">
        <v>2</v>
      </c>
      <c r="G1345">
        <v>72669101</v>
      </c>
      <c r="H1345" t="s">
        <v>5316</v>
      </c>
      <c r="I1345" t="s">
        <v>5317</v>
      </c>
      <c r="J1345" t="s">
        <v>56</v>
      </c>
      <c r="K1345">
        <v>6</v>
      </c>
      <c r="L1345">
        <v>9</v>
      </c>
      <c r="M1345">
        <v>2036</v>
      </c>
      <c r="N1345" t="s">
        <v>5318</v>
      </c>
      <c r="O1345" s="5">
        <f>DATE(Tabela1[[#This Row],[vigencia ano]],Tabela1[[#This Row],[vigencia mês]],Tabela1[[#This Row],[vigencia dia]])</f>
        <v>49924</v>
      </c>
    </row>
    <row r="1346" spans="1:15" x14ac:dyDescent="0.25">
      <c r="A1346" t="s">
        <v>41</v>
      </c>
      <c r="B1346" t="s">
        <v>5314</v>
      </c>
      <c r="C1346" s="1">
        <v>23999118000170</v>
      </c>
      <c r="D1346" t="s">
        <v>5315</v>
      </c>
      <c r="E1346" t="s">
        <v>5235</v>
      </c>
      <c r="F1346" t="s">
        <v>2</v>
      </c>
      <c r="G1346">
        <v>72669101</v>
      </c>
      <c r="H1346" t="s">
        <v>5319</v>
      </c>
      <c r="I1346" t="s">
        <v>5317</v>
      </c>
      <c r="J1346" t="s">
        <v>56</v>
      </c>
      <c r="K1346">
        <v>6</v>
      </c>
      <c r="L1346">
        <v>9</v>
      </c>
      <c r="M1346">
        <v>2036</v>
      </c>
      <c r="N1346" t="s">
        <v>5318</v>
      </c>
      <c r="O1346" s="5">
        <f>DATE(Tabela1[[#This Row],[vigencia ano]],Tabela1[[#This Row],[vigencia mês]],Tabela1[[#This Row],[vigencia dia]])</f>
        <v>49924</v>
      </c>
    </row>
    <row r="1347" spans="1:15" x14ac:dyDescent="0.25">
      <c r="A1347" t="s">
        <v>41</v>
      </c>
      <c r="B1347" t="s">
        <v>5320</v>
      </c>
      <c r="C1347" s="1">
        <v>14736152000161</v>
      </c>
      <c r="D1347" t="s">
        <v>5321</v>
      </c>
      <c r="E1347" t="s">
        <v>5235</v>
      </c>
      <c r="F1347" t="s">
        <v>2</v>
      </c>
      <c r="G1347">
        <v>71225541</v>
      </c>
      <c r="H1347" t="s">
        <v>5322</v>
      </c>
      <c r="I1347" t="s">
        <v>5323</v>
      </c>
      <c r="J1347" t="s">
        <v>56</v>
      </c>
      <c r="K1347">
        <v>6</v>
      </c>
      <c r="L1347">
        <v>20</v>
      </c>
      <c r="M1347">
        <v>2024</v>
      </c>
      <c r="N1347" t="s">
        <v>47</v>
      </c>
      <c r="O1347" s="5">
        <f>DATE(Tabela1[[#This Row],[vigencia ano]],Tabela1[[#This Row],[vigencia mês]],Tabela1[[#This Row],[vigencia dia]])</f>
        <v>45875</v>
      </c>
    </row>
    <row r="1348" spans="1:15" x14ac:dyDescent="0.25">
      <c r="A1348" t="s">
        <v>41</v>
      </c>
      <c r="B1348" t="s">
        <v>5324</v>
      </c>
      <c r="C1348" s="1">
        <v>3627130000147</v>
      </c>
      <c r="D1348" t="s">
        <v>5325</v>
      </c>
      <c r="E1348" t="s">
        <v>5235</v>
      </c>
      <c r="F1348" t="s">
        <v>2</v>
      </c>
      <c r="G1348">
        <v>70309900</v>
      </c>
      <c r="H1348" t="s">
        <v>5326</v>
      </c>
      <c r="I1348" t="s">
        <v>5327</v>
      </c>
      <c r="J1348" t="s">
        <v>56</v>
      </c>
      <c r="K1348">
        <v>7</v>
      </c>
      <c r="L1348">
        <v>12</v>
      </c>
      <c r="M1348">
        <v>2015</v>
      </c>
      <c r="N1348" t="s">
        <v>47</v>
      </c>
      <c r="O1348" s="5">
        <f>DATE(Tabela1[[#This Row],[vigencia ano]],Tabela1[[#This Row],[vigencia mês]],Tabela1[[#This Row],[vigencia dia]])</f>
        <v>42345</v>
      </c>
    </row>
    <row r="1349" spans="1:15" x14ac:dyDescent="0.25">
      <c r="A1349" t="s">
        <v>41</v>
      </c>
      <c r="B1349" t="s">
        <v>5328</v>
      </c>
      <c r="C1349" s="1">
        <v>37766331000147</v>
      </c>
      <c r="D1349" t="s">
        <v>5329</v>
      </c>
      <c r="E1349" t="s">
        <v>5235</v>
      </c>
      <c r="F1349" t="s">
        <v>2</v>
      </c>
      <c r="G1349">
        <v>71572011</v>
      </c>
      <c r="H1349" t="s">
        <v>5330</v>
      </c>
      <c r="I1349" t="s">
        <v>5331</v>
      </c>
      <c r="J1349" t="s">
        <v>56</v>
      </c>
      <c r="K1349">
        <v>6</v>
      </c>
      <c r="L1349">
        <v>26</v>
      </c>
      <c r="M1349">
        <v>2034</v>
      </c>
      <c r="N1349" t="s">
        <v>47</v>
      </c>
      <c r="O1349" s="5">
        <f>DATE(Tabela1[[#This Row],[vigencia ano]],Tabela1[[#This Row],[vigencia mês]],Tabela1[[#This Row],[vigencia dia]])</f>
        <v>49711</v>
      </c>
    </row>
    <row r="1350" spans="1:15" x14ac:dyDescent="0.25">
      <c r="A1350" t="s">
        <v>41</v>
      </c>
      <c r="B1350" t="s">
        <v>5332</v>
      </c>
      <c r="C1350" s="1">
        <v>11028793000173</v>
      </c>
      <c r="D1350" t="s">
        <v>5333</v>
      </c>
      <c r="E1350" t="s">
        <v>5235</v>
      </c>
      <c r="F1350" t="s">
        <v>2</v>
      </c>
      <c r="G1350">
        <v>71608900</v>
      </c>
      <c r="H1350" t="s">
        <v>5334</v>
      </c>
      <c r="I1350" t="s">
        <v>5335</v>
      </c>
      <c r="J1350" t="s">
        <v>56</v>
      </c>
      <c r="K1350">
        <v>2</v>
      </c>
      <c r="L1350">
        <v>19</v>
      </c>
      <c r="M1350">
        <v>2028</v>
      </c>
      <c r="N1350" t="s">
        <v>47</v>
      </c>
      <c r="O1350" s="5">
        <f>DATE(Tabela1[[#This Row],[vigencia ano]],Tabela1[[#This Row],[vigencia mês]],Tabela1[[#This Row],[vigencia dia]])</f>
        <v>47301</v>
      </c>
    </row>
    <row r="1351" spans="1:15" x14ac:dyDescent="0.25">
      <c r="A1351" t="s">
        <v>41</v>
      </c>
      <c r="B1351" t="s">
        <v>5336</v>
      </c>
      <c r="C1351" s="1">
        <v>14953799000145</v>
      </c>
      <c r="D1351" t="s">
        <v>5337</v>
      </c>
      <c r="E1351" t="s">
        <v>5235</v>
      </c>
      <c r="F1351" t="s">
        <v>2</v>
      </c>
      <c r="G1351">
        <v>71250025</v>
      </c>
      <c r="H1351" t="s">
        <v>5338</v>
      </c>
      <c r="I1351" t="s">
        <v>5339</v>
      </c>
      <c r="J1351" t="s">
        <v>56</v>
      </c>
      <c r="K1351">
        <v>7</v>
      </c>
      <c r="L1351">
        <v>17</v>
      </c>
      <c r="M1351">
        <v>2030</v>
      </c>
      <c r="N1351" t="s">
        <v>47</v>
      </c>
      <c r="O1351" s="5">
        <f>DATE(Tabela1[[#This Row],[vigencia ano]],Tabela1[[#This Row],[vigencia mês]],Tabela1[[#This Row],[vigencia dia]])</f>
        <v>47975</v>
      </c>
    </row>
    <row r="1352" spans="1:15" x14ac:dyDescent="0.25">
      <c r="A1352" t="s">
        <v>41</v>
      </c>
      <c r="B1352" t="s">
        <v>5340</v>
      </c>
      <c r="C1352" s="1">
        <v>1253053000187</v>
      </c>
      <c r="D1352" t="s">
        <v>5341</v>
      </c>
      <c r="E1352" t="s">
        <v>5235</v>
      </c>
      <c r="F1352" t="s">
        <v>2</v>
      </c>
      <c r="G1352">
        <v>71608900</v>
      </c>
      <c r="H1352" t="s">
        <v>5342</v>
      </c>
      <c r="I1352" t="s">
        <v>5343</v>
      </c>
      <c r="J1352" t="s">
        <v>56</v>
      </c>
      <c r="K1352">
        <v>3</v>
      </c>
      <c r="L1352">
        <v>13</v>
      </c>
      <c r="M1352">
        <v>2033</v>
      </c>
      <c r="N1352" t="s">
        <v>47</v>
      </c>
      <c r="O1352" s="5">
        <f>DATE(Tabela1[[#This Row],[vigencia ano]],Tabela1[[#This Row],[vigencia mês]],Tabela1[[#This Row],[vigencia dia]])</f>
        <v>48947</v>
      </c>
    </row>
    <row r="1353" spans="1:15" x14ac:dyDescent="0.25">
      <c r="A1353" t="s">
        <v>41</v>
      </c>
      <c r="B1353" t="s">
        <v>5340</v>
      </c>
      <c r="C1353" s="1">
        <v>1253053000187</v>
      </c>
      <c r="D1353" t="s">
        <v>5341</v>
      </c>
      <c r="E1353" t="s">
        <v>5235</v>
      </c>
      <c r="F1353" t="s">
        <v>2</v>
      </c>
      <c r="G1353">
        <v>71608900</v>
      </c>
      <c r="H1353" t="s">
        <v>5344</v>
      </c>
      <c r="I1353" t="s">
        <v>5343</v>
      </c>
      <c r="J1353" t="s">
        <v>56</v>
      </c>
      <c r="K1353">
        <v>3</v>
      </c>
      <c r="L1353">
        <v>13</v>
      </c>
      <c r="M1353">
        <v>2033</v>
      </c>
      <c r="N1353" t="s">
        <v>47</v>
      </c>
      <c r="O1353" s="5">
        <f>DATE(Tabela1[[#This Row],[vigencia ano]],Tabela1[[#This Row],[vigencia mês]],Tabela1[[#This Row],[vigencia dia]])</f>
        <v>48947</v>
      </c>
    </row>
    <row r="1354" spans="1:15" x14ac:dyDescent="0.25">
      <c r="A1354" t="s">
        <v>41</v>
      </c>
      <c r="B1354" t="s">
        <v>5345</v>
      </c>
      <c r="C1354" s="1">
        <v>34028316000103</v>
      </c>
      <c r="D1354" t="s">
        <v>5346</v>
      </c>
      <c r="E1354" t="s">
        <v>5235</v>
      </c>
      <c r="F1354" t="s">
        <v>2</v>
      </c>
      <c r="G1354">
        <v>70002900</v>
      </c>
      <c r="H1354" t="s">
        <v>5347</v>
      </c>
      <c r="I1354" t="s">
        <v>5348</v>
      </c>
      <c r="J1354" t="s">
        <v>56</v>
      </c>
      <c r="K1354">
        <v>6</v>
      </c>
      <c r="L1354">
        <v>5</v>
      </c>
      <c r="M1354">
        <v>2027</v>
      </c>
      <c r="N1354" t="s">
        <v>47</v>
      </c>
      <c r="O1354" s="5">
        <f>DATE(Tabela1[[#This Row],[vigencia ano]],Tabela1[[#This Row],[vigencia mês]],Tabela1[[#This Row],[vigencia dia]])</f>
        <v>46513</v>
      </c>
    </row>
    <row r="1355" spans="1:15" x14ac:dyDescent="0.25">
      <c r="A1355" t="s">
        <v>41</v>
      </c>
      <c r="B1355" t="s">
        <v>5349</v>
      </c>
      <c r="C1355" s="1">
        <v>23490819000180</v>
      </c>
      <c r="D1355" t="s">
        <v>5350</v>
      </c>
      <c r="E1355" t="s">
        <v>5235</v>
      </c>
      <c r="F1355" t="s">
        <v>2</v>
      </c>
      <c r="G1355">
        <v>71250740</v>
      </c>
      <c r="H1355" t="s">
        <v>5351</v>
      </c>
      <c r="I1355" t="s">
        <v>5352</v>
      </c>
      <c r="J1355" t="s">
        <v>56</v>
      </c>
      <c r="K1355">
        <v>7</v>
      </c>
      <c r="L1355">
        <v>19</v>
      </c>
      <c r="M1355">
        <v>2029</v>
      </c>
      <c r="N1355" t="s">
        <v>47</v>
      </c>
      <c r="O1355" s="5">
        <f>DATE(Tabela1[[#This Row],[vigencia ano]],Tabela1[[#This Row],[vigencia mês]],Tabela1[[#This Row],[vigencia dia]])</f>
        <v>47671</v>
      </c>
    </row>
    <row r="1356" spans="1:15" x14ac:dyDescent="0.25">
      <c r="A1356" t="s">
        <v>41</v>
      </c>
      <c r="B1356" t="s">
        <v>5353</v>
      </c>
      <c r="C1356" s="1">
        <v>54244430000188</v>
      </c>
      <c r="D1356" t="s">
        <v>5354</v>
      </c>
      <c r="E1356" t="s">
        <v>5235</v>
      </c>
      <c r="F1356" t="s">
        <v>2</v>
      </c>
      <c r="G1356">
        <v>73330091</v>
      </c>
      <c r="H1356" t="s">
        <v>5355</v>
      </c>
      <c r="I1356" t="s">
        <v>5356</v>
      </c>
      <c r="J1356" t="s">
        <v>56</v>
      </c>
      <c r="K1356">
        <v>9</v>
      </c>
      <c r="L1356">
        <v>3</v>
      </c>
      <c r="M1356">
        <v>2034</v>
      </c>
      <c r="N1356" t="s">
        <v>47</v>
      </c>
      <c r="O1356" s="5">
        <f>DATE(Tabela1[[#This Row],[vigencia ano]],Tabela1[[#This Row],[vigencia mês]],Tabela1[[#This Row],[vigencia dia]])</f>
        <v>49012</v>
      </c>
    </row>
    <row r="1357" spans="1:15" x14ac:dyDescent="0.25">
      <c r="A1357" t="s">
        <v>41</v>
      </c>
      <c r="B1357" t="s">
        <v>5357</v>
      </c>
      <c r="C1357" s="1">
        <v>28449209000156</v>
      </c>
      <c r="D1357" t="s">
        <v>5358</v>
      </c>
      <c r="E1357" t="s">
        <v>5235</v>
      </c>
      <c r="F1357" t="s">
        <v>2</v>
      </c>
      <c r="G1357">
        <v>72001180</v>
      </c>
      <c r="H1357" t="s">
        <v>5359</v>
      </c>
      <c r="I1357" t="s">
        <v>5360</v>
      </c>
      <c r="J1357" t="s">
        <v>56</v>
      </c>
      <c r="K1357">
        <v>3</v>
      </c>
      <c r="L1357">
        <v>8</v>
      </c>
      <c r="M1357">
        <v>2031</v>
      </c>
      <c r="N1357" t="s">
        <v>47</v>
      </c>
      <c r="O1357" s="5">
        <f>DATE(Tabela1[[#This Row],[vigencia ano]],Tabela1[[#This Row],[vigencia mês]],Tabela1[[#This Row],[vigencia dia]])</f>
        <v>48063</v>
      </c>
    </row>
    <row r="1358" spans="1:15" x14ac:dyDescent="0.25">
      <c r="A1358" t="s">
        <v>41</v>
      </c>
      <c r="B1358" t="s">
        <v>5361</v>
      </c>
      <c r="C1358" s="1">
        <v>1570442000136</v>
      </c>
      <c r="D1358" t="s">
        <v>5362</v>
      </c>
      <c r="E1358" t="s">
        <v>5235</v>
      </c>
      <c r="F1358" t="s">
        <v>2</v>
      </c>
      <c r="G1358">
        <v>71225542</v>
      </c>
      <c r="H1358" t="s">
        <v>5363</v>
      </c>
      <c r="I1358" t="s">
        <v>5364</v>
      </c>
      <c r="J1358" t="s">
        <v>46</v>
      </c>
      <c r="K1358">
        <v>8</v>
      </c>
      <c r="L1358">
        <v>19</v>
      </c>
      <c r="M1358">
        <v>2025</v>
      </c>
      <c r="N1358" t="s">
        <v>47</v>
      </c>
      <c r="O1358" s="5">
        <f>DATE(Tabela1[[#This Row],[vigencia ano]],Tabela1[[#This Row],[vigencia mês]],Tabela1[[#This Row],[vigencia dia]])</f>
        <v>46211</v>
      </c>
    </row>
    <row r="1359" spans="1:15" x14ac:dyDescent="0.25">
      <c r="A1359" t="s">
        <v>41</v>
      </c>
      <c r="B1359" t="s">
        <v>5365</v>
      </c>
      <c r="C1359" s="1">
        <v>4984295000139</v>
      </c>
      <c r="D1359" t="s">
        <v>5366</v>
      </c>
      <c r="E1359" t="s">
        <v>5235</v>
      </c>
      <c r="F1359" t="s">
        <v>2</v>
      </c>
      <c r="G1359">
        <v>71720586</v>
      </c>
      <c r="H1359" t="s">
        <v>5367</v>
      </c>
      <c r="I1359" t="s">
        <v>5368</v>
      </c>
      <c r="J1359" t="s">
        <v>56</v>
      </c>
      <c r="K1359">
        <v>7</v>
      </c>
      <c r="L1359">
        <v>16</v>
      </c>
      <c r="M1359">
        <v>2024</v>
      </c>
      <c r="N1359" t="s">
        <v>47</v>
      </c>
      <c r="O1359" s="5">
        <f>DATE(Tabela1[[#This Row],[vigencia ano]],Tabela1[[#This Row],[vigencia mês]],Tabela1[[#This Row],[vigencia dia]])</f>
        <v>45754</v>
      </c>
    </row>
    <row r="1360" spans="1:15" x14ac:dyDescent="0.25">
      <c r="A1360" t="s">
        <v>41</v>
      </c>
      <c r="B1360" t="s">
        <v>5369</v>
      </c>
      <c r="C1360" s="1">
        <v>72447000176</v>
      </c>
      <c r="D1360" t="s">
        <v>5370</v>
      </c>
      <c r="E1360" t="s">
        <v>5235</v>
      </c>
      <c r="F1360" t="s">
        <v>2</v>
      </c>
      <c r="G1360">
        <v>71225542</v>
      </c>
      <c r="H1360" t="s">
        <v>5371</v>
      </c>
      <c r="I1360" t="s">
        <v>5372</v>
      </c>
      <c r="J1360" t="s">
        <v>46</v>
      </c>
      <c r="K1360">
        <v>7</v>
      </c>
      <c r="L1360">
        <v>4</v>
      </c>
      <c r="M1360">
        <v>2026</v>
      </c>
      <c r="N1360" t="s">
        <v>47</v>
      </c>
      <c r="O1360" s="5">
        <f>DATE(Tabela1[[#This Row],[vigencia ano]],Tabela1[[#This Row],[vigencia mês]],Tabela1[[#This Row],[vigencia dia]])</f>
        <v>46119</v>
      </c>
    </row>
    <row r="1361" spans="1:15" x14ac:dyDescent="0.25">
      <c r="A1361" t="s">
        <v>41</v>
      </c>
      <c r="B1361" t="s">
        <v>5373</v>
      </c>
      <c r="C1361" s="1">
        <v>8290111000191</v>
      </c>
      <c r="D1361" t="s">
        <v>5374</v>
      </c>
      <c r="E1361" t="s">
        <v>5235</v>
      </c>
      <c r="F1361" t="s">
        <v>2</v>
      </c>
      <c r="G1361">
        <v>72265000</v>
      </c>
      <c r="H1361" t="s">
        <v>5375</v>
      </c>
      <c r="I1361" t="s">
        <v>5376</v>
      </c>
      <c r="J1361" t="s">
        <v>56</v>
      </c>
      <c r="K1361">
        <v>5</v>
      </c>
      <c r="L1361">
        <v>27</v>
      </c>
      <c r="M1361">
        <v>2034</v>
      </c>
      <c r="N1361" t="s">
        <v>47</v>
      </c>
      <c r="O1361" s="5">
        <f>DATE(Tabela1[[#This Row],[vigencia ano]],Tabela1[[#This Row],[vigencia mês]],Tabela1[[#This Row],[vigencia dia]])</f>
        <v>49739</v>
      </c>
    </row>
    <row r="1362" spans="1:15" x14ac:dyDescent="0.25">
      <c r="A1362" t="s">
        <v>41</v>
      </c>
      <c r="B1362" t="s">
        <v>5377</v>
      </c>
      <c r="C1362" s="1">
        <v>25111693000110</v>
      </c>
      <c r="D1362" t="s">
        <v>5378</v>
      </c>
      <c r="E1362" t="s">
        <v>5235</v>
      </c>
      <c r="F1362" t="s">
        <v>2</v>
      </c>
      <c r="G1362">
        <v>72001180</v>
      </c>
      <c r="H1362" t="s">
        <v>5359</v>
      </c>
      <c r="I1362" t="s">
        <v>5379</v>
      </c>
      <c r="J1362" t="s">
        <v>56</v>
      </c>
      <c r="K1362">
        <v>4</v>
      </c>
      <c r="L1362">
        <v>9</v>
      </c>
      <c r="M1362">
        <v>2031</v>
      </c>
      <c r="N1362" t="s">
        <v>47</v>
      </c>
      <c r="O1362" s="5">
        <f>DATE(Tabela1[[#This Row],[vigencia ano]],Tabela1[[#This Row],[vigencia mês]],Tabela1[[#This Row],[vigencia dia]])</f>
        <v>48095</v>
      </c>
    </row>
    <row r="1363" spans="1:15" x14ac:dyDescent="0.25">
      <c r="A1363" t="s">
        <v>41</v>
      </c>
      <c r="B1363" t="s">
        <v>5380</v>
      </c>
      <c r="C1363" s="1">
        <v>43350037000152</v>
      </c>
      <c r="D1363" t="s">
        <v>5381</v>
      </c>
      <c r="E1363" t="s">
        <v>5235</v>
      </c>
      <c r="F1363" t="s">
        <v>2</v>
      </c>
      <c r="G1363">
        <v>72135180</v>
      </c>
      <c r="H1363" t="s">
        <v>5382</v>
      </c>
      <c r="I1363" t="s">
        <v>5383</v>
      </c>
      <c r="J1363" t="s">
        <v>56</v>
      </c>
      <c r="K1363">
        <v>8</v>
      </c>
      <c r="L1363">
        <v>8</v>
      </c>
      <c r="M1363">
        <v>2033</v>
      </c>
      <c r="N1363" t="s">
        <v>47</v>
      </c>
      <c r="O1363" s="5">
        <f>DATE(Tabela1[[#This Row],[vigencia ano]],Tabela1[[#This Row],[vigencia mês]],Tabela1[[#This Row],[vigencia dia]])</f>
        <v>48799</v>
      </c>
    </row>
    <row r="1364" spans="1:15" x14ac:dyDescent="0.25">
      <c r="A1364" t="s">
        <v>41</v>
      </c>
      <c r="B1364" t="s">
        <v>5384</v>
      </c>
      <c r="C1364" s="1">
        <v>37142387000120</v>
      </c>
      <c r="D1364" t="s">
        <v>5385</v>
      </c>
      <c r="E1364" t="s">
        <v>5235</v>
      </c>
      <c r="F1364" t="s">
        <v>2</v>
      </c>
      <c r="G1364">
        <v>70632100</v>
      </c>
      <c r="H1364" t="s">
        <v>5386</v>
      </c>
      <c r="I1364" t="s">
        <v>5387</v>
      </c>
      <c r="J1364" t="s">
        <v>56</v>
      </c>
      <c r="K1364">
        <v>8</v>
      </c>
      <c r="L1364">
        <v>14</v>
      </c>
      <c r="M1364">
        <v>2027</v>
      </c>
      <c r="N1364" t="s">
        <v>47</v>
      </c>
      <c r="O1364" s="5">
        <f>DATE(Tabela1[[#This Row],[vigencia ano]],Tabela1[[#This Row],[vigencia mês]],Tabela1[[#This Row],[vigencia dia]])</f>
        <v>46791</v>
      </c>
    </row>
    <row r="1365" spans="1:15" x14ac:dyDescent="0.25">
      <c r="A1365" t="s">
        <v>41</v>
      </c>
      <c r="B1365" t="s">
        <v>5388</v>
      </c>
      <c r="C1365" s="1">
        <v>5192715000107</v>
      </c>
      <c r="D1365" t="s">
        <v>5389</v>
      </c>
      <c r="E1365" t="s">
        <v>5235</v>
      </c>
      <c r="F1365" t="s">
        <v>2</v>
      </c>
      <c r="G1365">
        <v>71205050</v>
      </c>
      <c r="H1365" t="s">
        <v>5390</v>
      </c>
      <c r="I1365" t="s">
        <v>5391</v>
      </c>
      <c r="J1365" t="s">
        <v>56</v>
      </c>
      <c r="K1365">
        <v>8</v>
      </c>
      <c r="L1365">
        <v>4</v>
      </c>
      <c r="M1365">
        <v>2021</v>
      </c>
      <c r="N1365" t="s">
        <v>47</v>
      </c>
      <c r="O1365" s="5">
        <f>DATE(Tabela1[[#This Row],[vigencia ano]],Tabela1[[#This Row],[vigencia mês]],Tabela1[[#This Row],[vigencia dia]])</f>
        <v>44294</v>
      </c>
    </row>
    <row r="1366" spans="1:15" x14ac:dyDescent="0.25">
      <c r="A1366" t="s">
        <v>41</v>
      </c>
      <c r="B1366" t="s">
        <v>5392</v>
      </c>
      <c r="C1366" s="1">
        <v>35196765000123</v>
      </c>
      <c r="D1366" t="s">
        <v>5393</v>
      </c>
      <c r="E1366" t="s">
        <v>5235</v>
      </c>
      <c r="F1366" t="s">
        <v>2</v>
      </c>
      <c r="G1366">
        <v>65095602</v>
      </c>
      <c r="H1366" t="s">
        <v>5394</v>
      </c>
      <c r="I1366" t="s">
        <v>5395</v>
      </c>
      <c r="J1366" t="s">
        <v>56</v>
      </c>
      <c r="K1366">
        <v>3</v>
      </c>
      <c r="L1366">
        <v>26</v>
      </c>
      <c r="M1366">
        <v>2035</v>
      </c>
      <c r="N1366" t="s">
        <v>5396</v>
      </c>
      <c r="O1366" s="5">
        <f>DATE(Tabela1[[#This Row],[vigencia ano]],Tabela1[[#This Row],[vigencia mês]],Tabela1[[#This Row],[vigencia dia]])</f>
        <v>50074</v>
      </c>
    </row>
    <row r="1367" spans="1:15" x14ac:dyDescent="0.25">
      <c r="A1367" t="s">
        <v>41</v>
      </c>
      <c r="B1367" t="s">
        <v>5392</v>
      </c>
      <c r="C1367" s="1">
        <v>35196765000123</v>
      </c>
      <c r="D1367" t="s">
        <v>5393</v>
      </c>
      <c r="E1367" t="s">
        <v>5235</v>
      </c>
      <c r="F1367" t="s">
        <v>2</v>
      </c>
      <c r="G1367">
        <v>65095602</v>
      </c>
      <c r="H1367" t="s">
        <v>5397</v>
      </c>
      <c r="I1367" t="s">
        <v>5395</v>
      </c>
      <c r="J1367" t="s">
        <v>56</v>
      </c>
      <c r="K1367">
        <v>3</v>
      </c>
      <c r="L1367">
        <v>26</v>
      </c>
      <c r="M1367">
        <v>2035</v>
      </c>
      <c r="N1367" t="s">
        <v>5396</v>
      </c>
      <c r="O1367" s="5">
        <f>DATE(Tabela1[[#This Row],[vigencia ano]],Tabela1[[#This Row],[vigencia mês]],Tabela1[[#This Row],[vigencia dia]])</f>
        <v>50074</v>
      </c>
    </row>
    <row r="1368" spans="1:15" x14ac:dyDescent="0.25">
      <c r="A1368" t="s">
        <v>41</v>
      </c>
      <c r="B1368" t="s">
        <v>5398</v>
      </c>
      <c r="C1368" s="1">
        <v>40594727000169</v>
      </c>
      <c r="D1368" t="s">
        <v>5399</v>
      </c>
      <c r="E1368" t="s">
        <v>5235</v>
      </c>
      <c r="F1368" t="s">
        <v>2</v>
      </c>
      <c r="G1368">
        <v>71736202</v>
      </c>
      <c r="H1368" t="s">
        <v>4409</v>
      </c>
      <c r="I1368" t="s">
        <v>5400</v>
      </c>
      <c r="J1368" t="s">
        <v>56</v>
      </c>
      <c r="K1368">
        <v>2</v>
      </c>
      <c r="L1368">
        <v>8</v>
      </c>
      <c r="M1368">
        <v>2032</v>
      </c>
      <c r="N1368" t="s">
        <v>47</v>
      </c>
      <c r="O1368" s="5">
        <f>DATE(Tabela1[[#This Row],[vigencia ano]],Tabela1[[#This Row],[vigencia mês]],Tabela1[[#This Row],[vigencia dia]])</f>
        <v>48428</v>
      </c>
    </row>
    <row r="1369" spans="1:15" x14ac:dyDescent="0.25">
      <c r="A1369" t="s">
        <v>41</v>
      </c>
      <c r="B1369" t="s">
        <v>5401</v>
      </c>
      <c r="C1369" s="1">
        <v>7668895000186</v>
      </c>
      <c r="D1369" t="s">
        <v>5402</v>
      </c>
      <c r="E1369" t="s">
        <v>5235</v>
      </c>
      <c r="F1369" t="s">
        <v>2</v>
      </c>
      <c r="G1369">
        <v>71736202</v>
      </c>
      <c r="H1369" t="s">
        <v>5403</v>
      </c>
      <c r="I1369" t="s">
        <v>5404</v>
      </c>
      <c r="J1369" t="s">
        <v>56</v>
      </c>
      <c r="K1369">
        <v>7</v>
      </c>
      <c r="L1369">
        <v>28</v>
      </c>
      <c r="M1369">
        <v>2026</v>
      </c>
      <c r="N1369" t="s">
        <v>47</v>
      </c>
      <c r="O1369" s="5">
        <f>DATE(Tabela1[[#This Row],[vigencia ano]],Tabela1[[#This Row],[vigencia mês]],Tabela1[[#This Row],[vigencia dia]])</f>
        <v>46850</v>
      </c>
    </row>
    <row r="1370" spans="1:15" x14ac:dyDescent="0.25">
      <c r="A1370" t="s">
        <v>41</v>
      </c>
      <c r="B1370" t="s">
        <v>5405</v>
      </c>
      <c r="C1370" s="1">
        <v>21526849000173</v>
      </c>
      <c r="D1370" t="s">
        <v>5406</v>
      </c>
      <c r="E1370" t="s">
        <v>5235</v>
      </c>
      <c r="F1370" t="s">
        <v>2</v>
      </c>
      <c r="G1370">
        <v>71215300</v>
      </c>
      <c r="H1370" t="s">
        <v>5407</v>
      </c>
      <c r="I1370" t="s">
        <v>5408</v>
      </c>
      <c r="J1370" t="s">
        <v>56</v>
      </c>
      <c r="K1370">
        <v>5</v>
      </c>
      <c r="L1370">
        <v>10</v>
      </c>
      <c r="M1370">
        <v>2026</v>
      </c>
      <c r="N1370" t="s">
        <v>47</v>
      </c>
      <c r="O1370" s="5">
        <f>DATE(Tabela1[[#This Row],[vigencia ano]],Tabela1[[#This Row],[vigencia mês]],Tabela1[[#This Row],[vigencia dia]])</f>
        <v>46300</v>
      </c>
    </row>
    <row r="1371" spans="1:15" x14ac:dyDescent="0.25">
      <c r="A1371" t="s">
        <v>41</v>
      </c>
      <c r="B1371" t="s">
        <v>5409</v>
      </c>
      <c r="C1371" s="1">
        <v>8296144000149</v>
      </c>
      <c r="D1371" t="s">
        <v>5410</v>
      </c>
      <c r="E1371" t="s">
        <v>5235</v>
      </c>
      <c r="F1371" t="s">
        <v>2</v>
      </c>
      <c r="G1371">
        <v>71989600</v>
      </c>
      <c r="H1371" t="s">
        <v>5411</v>
      </c>
      <c r="I1371" t="s">
        <v>5412</v>
      </c>
      <c r="J1371" t="s">
        <v>56</v>
      </c>
      <c r="K1371">
        <v>2</v>
      </c>
      <c r="L1371">
        <v>10</v>
      </c>
      <c r="M1371">
        <v>2027</v>
      </c>
      <c r="N1371" t="s">
        <v>47</v>
      </c>
      <c r="O1371" s="5">
        <f>DATE(Tabela1[[#This Row],[vigencia ano]],Tabela1[[#This Row],[vigencia mês]],Tabela1[[#This Row],[vigencia dia]])</f>
        <v>46662</v>
      </c>
    </row>
    <row r="1372" spans="1:15" x14ac:dyDescent="0.25">
      <c r="A1372" t="s">
        <v>41</v>
      </c>
      <c r="B1372" t="s">
        <v>5413</v>
      </c>
      <c r="C1372" s="1">
        <v>7605506000173</v>
      </c>
      <c r="D1372" t="s">
        <v>5414</v>
      </c>
      <c r="E1372" t="s">
        <v>5235</v>
      </c>
      <c r="F1372" t="s">
        <v>2</v>
      </c>
      <c r="G1372">
        <v>71250110</v>
      </c>
      <c r="H1372" t="s">
        <v>5415</v>
      </c>
      <c r="I1372" t="s">
        <v>5416</v>
      </c>
      <c r="J1372" t="s">
        <v>56</v>
      </c>
      <c r="K1372">
        <v>9</v>
      </c>
      <c r="L1372">
        <v>21</v>
      </c>
      <c r="M1372">
        <v>2028</v>
      </c>
      <c r="N1372" t="s">
        <v>47</v>
      </c>
      <c r="O1372" s="5">
        <f>DATE(Tabela1[[#This Row],[vigencia ano]],Tabela1[[#This Row],[vigencia mês]],Tabela1[[#This Row],[vigencia dia]])</f>
        <v>47370</v>
      </c>
    </row>
    <row r="1373" spans="1:15" x14ac:dyDescent="0.25">
      <c r="A1373" t="s">
        <v>41</v>
      </c>
      <c r="B1373" t="s">
        <v>5417</v>
      </c>
      <c r="C1373" s="1">
        <v>26435370000145</v>
      </c>
      <c r="D1373" t="s">
        <v>5418</v>
      </c>
      <c r="E1373" t="s">
        <v>5235</v>
      </c>
      <c r="F1373" t="s">
        <v>2</v>
      </c>
      <c r="G1373">
        <v>70310500</v>
      </c>
      <c r="H1373" t="s">
        <v>5419</v>
      </c>
      <c r="I1373" t="s">
        <v>5420</v>
      </c>
      <c r="J1373" t="s">
        <v>56</v>
      </c>
      <c r="K1373">
        <v>9</v>
      </c>
      <c r="L1373">
        <v>9</v>
      </c>
      <c r="M1373">
        <v>2025</v>
      </c>
      <c r="N1373" t="s">
        <v>47</v>
      </c>
      <c r="O1373" s="5">
        <f>DATE(Tabela1[[#This Row],[vigencia ano]],Tabela1[[#This Row],[vigencia mês]],Tabela1[[#This Row],[vigencia dia]])</f>
        <v>45909</v>
      </c>
    </row>
    <row r="1374" spans="1:15" x14ac:dyDescent="0.25">
      <c r="A1374" t="s">
        <v>41</v>
      </c>
      <c r="B1374" t="s">
        <v>5421</v>
      </c>
      <c r="C1374" s="1">
        <v>502302000168</v>
      </c>
      <c r="D1374" t="s">
        <v>5422</v>
      </c>
      <c r="E1374" t="s">
        <v>5235</v>
      </c>
      <c r="F1374" t="s">
        <v>2</v>
      </c>
      <c r="G1374">
        <v>71225542</v>
      </c>
      <c r="H1374" t="s">
        <v>5423</v>
      </c>
      <c r="I1374" t="s">
        <v>5424</v>
      </c>
      <c r="J1374" t="s">
        <v>56</v>
      </c>
      <c r="K1374">
        <v>8</v>
      </c>
      <c r="L1374">
        <v>21</v>
      </c>
      <c r="M1374">
        <v>2028</v>
      </c>
      <c r="N1374" t="s">
        <v>47</v>
      </c>
      <c r="O1374" s="5">
        <f>DATE(Tabela1[[#This Row],[vigencia ano]],Tabela1[[#This Row],[vigencia mês]],Tabela1[[#This Row],[vigencia dia]])</f>
        <v>47369</v>
      </c>
    </row>
    <row r="1375" spans="1:15" x14ac:dyDescent="0.25">
      <c r="A1375" t="s">
        <v>41</v>
      </c>
      <c r="B1375" t="s">
        <v>5425</v>
      </c>
      <c r="C1375" s="1">
        <v>32270711000172</v>
      </c>
      <c r="D1375" t="s">
        <v>5426</v>
      </c>
      <c r="E1375" t="s">
        <v>5235</v>
      </c>
      <c r="F1375" t="s">
        <v>2</v>
      </c>
      <c r="G1375">
        <v>71987720</v>
      </c>
      <c r="H1375" t="s">
        <v>5427</v>
      </c>
      <c r="I1375" t="s">
        <v>5428</v>
      </c>
      <c r="J1375" t="s">
        <v>56</v>
      </c>
      <c r="K1375">
        <v>3</v>
      </c>
      <c r="L1375">
        <v>2</v>
      </c>
      <c r="M1375">
        <v>2031</v>
      </c>
      <c r="N1375" t="s">
        <v>47</v>
      </c>
      <c r="O1375" s="5">
        <f>DATE(Tabela1[[#This Row],[vigencia ano]],Tabela1[[#This Row],[vigencia mês]],Tabela1[[#This Row],[vigencia dia]])</f>
        <v>47882</v>
      </c>
    </row>
    <row r="1376" spans="1:15" x14ac:dyDescent="0.25">
      <c r="A1376" t="s">
        <v>41</v>
      </c>
      <c r="B1376" t="s">
        <v>5429</v>
      </c>
      <c r="C1376" s="1">
        <v>38031555000173</v>
      </c>
      <c r="D1376" t="s">
        <v>5430</v>
      </c>
      <c r="E1376" t="s">
        <v>5235</v>
      </c>
      <c r="F1376" t="s">
        <v>2</v>
      </c>
      <c r="G1376">
        <v>71225542</v>
      </c>
      <c r="H1376" t="s">
        <v>5431</v>
      </c>
      <c r="I1376" t="s">
        <v>5432</v>
      </c>
      <c r="J1376" t="s">
        <v>56</v>
      </c>
      <c r="K1376">
        <v>4</v>
      </c>
      <c r="L1376">
        <v>2</v>
      </c>
      <c r="M1376">
        <v>2024</v>
      </c>
      <c r="N1376" t="s">
        <v>47</v>
      </c>
      <c r="O1376" s="5">
        <f>DATE(Tabela1[[#This Row],[vigencia ano]],Tabela1[[#This Row],[vigencia mês]],Tabela1[[#This Row],[vigencia dia]])</f>
        <v>45326</v>
      </c>
    </row>
    <row r="1377" spans="1:15" x14ac:dyDescent="0.25">
      <c r="A1377" t="s">
        <v>41</v>
      </c>
      <c r="B1377" t="s">
        <v>5433</v>
      </c>
      <c r="C1377" s="1">
        <v>38029534000113</v>
      </c>
      <c r="D1377" t="s">
        <v>5434</v>
      </c>
      <c r="E1377" t="s">
        <v>5235</v>
      </c>
      <c r="F1377" t="s">
        <v>2</v>
      </c>
      <c r="G1377">
        <v>70610460</v>
      </c>
      <c r="H1377" t="s">
        <v>5435</v>
      </c>
      <c r="I1377" t="s">
        <v>5436</v>
      </c>
      <c r="J1377" t="s">
        <v>56</v>
      </c>
      <c r="K1377">
        <v>8</v>
      </c>
      <c r="L1377">
        <v>21</v>
      </c>
      <c r="M1377">
        <v>2028</v>
      </c>
      <c r="N1377" t="s">
        <v>47</v>
      </c>
      <c r="O1377" s="5">
        <f>DATE(Tabela1[[#This Row],[vigencia ano]],Tabela1[[#This Row],[vigencia mês]],Tabela1[[#This Row],[vigencia dia]])</f>
        <v>47369</v>
      </c>
    </row>
    <row r="1378" spans="1:15" x14ac:dyDescent="0.25">
      <c r="A1378" t="s">
        <v>41</v>
      </c>
      <c r="B1378" t="s">
        <v>5437</v>
      </c>
      <c r="C1378" s="1">
        <v>27210071000175</v>
      </c>
      <c r="D1378" t="s">
        <v>5438</v>
      </c>
      <c r="E1378" t="s">
        <v>5235</v>
      </c>
      <c r="F1378" t="s">
        <v>2</v>
      </c>
      <c r="G1378">
        <v>71971540</v>
      </c>
      <c r="H1378" t="s">
        <v>5439</v>
      </c>
      <c r="I1378" t="s">
        <v>5440</v>
      </c>
      <c r="J1378" t="s">
        <v>56</v>
      </c>
      <c r="K1378">
        <v>6</v>
      </c>
      <c r="L1378">
        <v>19</v>
      </c>
      <c r="M1378">
        <v>2027</v>
      </c>
      <c r="N1378" t="s">
        <v>47</v>
      </c>
      <c r="O1378" s="5">
        <f>DATE(Tabela1[[#This Row],[vigencia ano]],Tabela1[[#This Row],[vigencia mês]],Tabela1[[#This Row],[vigencia dia]])</f>
        <v>46940</v>
      </c>
    </row>
    <row r="1379" spans="1:15" x14ac:dyDescent="0.25">
      <c r="A1379" t="s">
        <v>41</v>
      </c>
      <c r="B1379" t="s">
        <v>5441</v>
      </c>
      <c r="C1379" s="1">
        <v>24893687000108</v>
      </c>
      <c r="D1379" t="s">
        <v>5442</v>
      </c>
      <c r="E1379" t="s">
        <v>5235</v>
      </c>
      <c r="F1379" t="s">
        <v>2</v>
      </c>
      <c r="G1379">
        <v>71608900</v>
      </c>
      <c r="H1379" t="s">
        <v>5443</v>
      </c>
      <c r="I1379" t="s">
        <v>5444</v>
      </c>
      <c r="J1379" t="s">
        <v>46</v>
      </c>
      <c r="K1379">
        <v>11</v>
      </c>
      <c r="L1379">
        <v>16</v>
      </c>
      <c r="M1379">
        <v>2028</v>
      </c>
      <c r="N1379" t="s">
        <v>47</v>
      </c>
      <c r="O1379" s="5">
        <f>DATE(Tabela1[[#This Row],[vigencia ano]],Tabela1[[#This Row],[vigencia mês]],Tabela1[[#This Row],[vigencia dia]])</f>
        <v>47219</v>
      </c>
    </row>
    <row r="1380" spans="1:15" x14ac:dyDescent="0.25">
      <c r="A1380" t="s">
        <v>41</v>
      </c>
      <c r="B1380" t="s">
        <v>5441</v>
      </c>
      <c r="C1380" s="1">
        <v>24893687000108</v>
      </c>
      <c r="D1380" t="s">
        <v>5442</v>
      </c>
      <c r="E1380" t="s">
        <v>5235</v>
      </c>
      <c r="F1380" t="s">
        <v>2</v>
      </c>
      <c r="G1380">
        <v>71608900</v>
      </c>
      <c r="H1380" t="s">
        <v>5445</v>
      </c>
      <c r="I1380" t="s">
        <v>5444</v>
      </c>
      <c r="J1380" t="s">
        <v>46</v>
      </c>
      <c r="K1380">
        <v>11</v>
      </c>
      <c r="L1380">
        <v>16</v>
      </c>
      <c r="M1380">
        <v>2028</v>
      </c>
      <c r="N1380" t="s">
        <v>47</v>
      </c>
      <c r="O1380" s="5">
        <f>DATE(Tabela1[[#This Row],[vigencia ano]],Tabela1[[#This Row],[vigencia mês]],Tabela1[[#This Row],[vigencia dia]])</f>
        <v>47219</v>
      </c>
    </row>
    <row r="1381" spans="1:15" x14ac:dyDescent="0.25">
      <c r="A1381" t="s">
        <v>41</v>
      </c>
      <c r="B1381" t="s">
        <v>5446</v>
      </c>
      <c r="C1381" s="1">
        <v>27609855000170</v>
      </c>
      <c r="D1381" t="s">
        <v>5447</v>
      </c>
      <c r="E1381" t="s">
        <v>5235</v>
      </c>
      <c r="F1381" t="s">
        <v>2</v>
      </c>
      <c r="G1381">
        <v>71200030</v>
      </c>
      <c r="H1381" t="s">
        <v>5448</v>
      </c>
      <c r="I1381" t="s">
        <v>5449</v>
      </c>
      <c r="J1381" t="s">
        <v>56</v>
      </c>
      <c r="K1381">
        <v>9</v>
      </c>
      <c r="L1381">
        <v>12</v>
      </c>
      <c r="M1381">
        <v>2029</v>
      </c>
      <c r="N1381" t="s">
        <v>47</v>
      </c>
      <c r="O1381" s="5">
        <f>DATE(Tabela1[[#This Row],[vigencia ano]],Tabela1[[#This Row],[vigencia mês]],Tabela1[[#This Row],[vigencia dia]])</f>
        <v>47461</v>
      </c>
    </row>
    <row r="1382" spans="1:15" x14ac:dyDescent="0.25">
      <c r="A1382" t="s">
        <v>41</v>
      </c>
      <c r="B1382" t="s">
        <v>5450</v>
      </c>
      <c r="C1382" s="1">
        <v>4606250000120</v>
      </c>
      <c r="D1382" t="s">
        <v>5451</v>
      </c>
      <c r="E1382" t="s">
        <v>5235</v>
      </c>
      <c r="F1382" t="s">
        <v>2</v>
      </c>
      <c r="G1382">
        <v>70701040</v>
      </c>
      <c r="H1382" t="s">
        <v>5452</v>
      </c>
      <c r="I1382" t="s">
        <v>5453</v>
      </c>
      <c r="J1382" t="s">
        <v>46</v>
      </c>
      <c r="K1382">
        <v>4</v>
      </c>
      <c r="L1382">
        <v>25</v>
      </c>
      <c r="M1382">
        <v>2035</v>
      </c>
      <c r="N1382" t="s">
        <v>5454</v>
      </c>
      <c r="O1382" s="5">
        <f>DATE(Tabela1[[#This Row],[vigencia ano]],Tabela1[[#This Row],[vigencia mês]],Tabela1[[#This Row],[vigencia dia]])</f>
        <v>50044</v>
      </c>
    </row>
    <row r="1383" spans="1:15" x14ac:dyDescent="0.25">
      <c r="A1383" t="s">
        <v>41</v>
      </c>
      <c r="B1383" t="s">
        <v>5455</v>
      </c>
      <c r="C1383" s="1">
        <v>29202575000179</v>
      </c>
      <c r="D1383" t="s">
        <v>5456</v>
      </c>
      <c r="E1383" t="s">
        <v>5235</v>
      </c>
      <c r="F1383" t="s">
        <v>2</v>
      </c>
      <c r="G1383">
        <v>71510970</v>
      </c>
      <c r="H1383" t="s">
        <v>5457</v>
      </c>
      <c r="I1383" t="s">
        <v>5458</v>
      </c>
      <c r="J1383" t="s">
        <v>56</v>
      </c>
      <c r="K1383">
        <v>3</v>
      </c>
      <c r="L1383">
        <v>13</v>
      </c>
      <c r="M1383">
        <v>2036</v>
      </c>
      <c r="N1383" t="s">
        <v>5459</v>
      </c>
      <c r="O1383" s="5">
        <f>DATE(Tabela1[[#This Row],[vigencia ano]],Tabela1[[#This Row],[vigencia mês]],Tabela1[[#This Row],[vigencia dia]])</f>
        <v>50043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3"/>
  <sheetViews>
    <sheetView workbookViewId="0">
      <selection activeCell="N5" sqref="N5"/>
    </sheetView>
  </sheetViews>
  <sheetFormatPr defaultRowHeight="15" x14ac:dyDescent="0.25"/>
  <cols>
    <col min="1" max="1" width="14.7109375" customWidth="1"/>
    <col min="2" max="2" width="16.5703125" customWidth="1"/>
    <col min="3" max="3" width="10.7109375" bestFit="1" customWidth="1"/>
  </cols>
  <sheetData>
    <row r="1" spans="1:3" ht="15.75" thickBot="1" x14ac:dyDescent="0.3">
      <c r="A1" s="8" t="s">
        <v>27</v>
      </c>
      <c r="B1" t="s">
        <v>5460</v>
      </c>
      <c r="C1" t="s">
        <v>5463</v>
      </c>
    </row>
    <row r="2" spans="1:3" x14ac:dyDescent="0.25">
      <c r="A2" s="6" t="s">
        <v>41</v>
      </c>
      <c r="B2" t="s">
        <v>41</v>
      </c>
      <c r="C2">
        <f>COUNTIF(A2:A1383,"BRASIL")</f>
        <v>1375</v>
      </c>
    </row>
    <row r="3" spans="1:3" x14ac:dyDescent="0.25">
      <c r="A3" s="7" t="s">
        <v>41</v>
      </c>
      <c r="B3" t="s">
        <v>5461</v>
      </c>
      <c r="C3">
        <f>COUNTIF(A3:A1383,"DINAMARCA")</f>
        <v>2</v>
      </c>
    </row>
    <row r="4" spans="1:3" x14ac:dyDescent="0.25">
      <c r="A4" s="6" t="s">
        <v>41</v>
      </c>
      <c r="B4" t="s">
        <v>215</v>
      </c>
      <c r="C4">
        <f>COUNTIF(A4:A1383,"ALEMANHA")</f>
        <v>1</v>
      </c>
    </row>
    <row r="5" spans="1:3" x14ac:dyDescent="0.25">
      <c r="A5" s="7" t="s">
        <v>41</v>
      </c>
      <c r="B5" t="s">
        <v>225</v>
      </c>
      <c r="C5">
        <f>COUNTIF(A5:A1383,"CHILE")</f>
        <v>2</v>
      </c>
    </row>
    <row r="6" spans="1:3" x14ac:dyDescent="0.25">
      <c r="A6" s="6" t="s">
        <v>41</v>
      </c>
      <c r="B6" t="s">
        <v>5462</v>
      </c>
      <c r="C6">
        <f>COUNTIF(A6:A1383,"SUIÇA")</f>
        <v>0</v>
      </c>
    </row>
    <row r="7" spans="1:3" x14ac:dyDescent="0.25">
      <c r="A7" s="7" t="s">
        <v>41</v>
      </c>
    </row>
    <row r="8" spans="1:3" x14ac:dyDescent="0.25">
      <c r="A8" s="6" t="s">
        <v>41</v>
      </c>
    </row>
    <row r="9" spans="1:3" x14ac:dyDescent="0.25">
      <c r="A9" s="7" t="s">
        <v>41</v>
      </c>
    </row>
    <row r="10" spans="1:3" x14ac:dyDescent="0.25">
      <c r="A10" s="6" t="s">
        <v>41</v>
      </c>
    </row>
    <row r="11" spans="1:3" x14ac:dyDescent="0.25">
      <c r="A11" s="7" t="s">
        <v>81</v>
      </c>
    </row>
    <row r="12" spans="1:3" x14ac:dyDescent="0.25">
      <c r="A12" s="6" t="s">
        <v>41</v>
      </c>
    </row>
    <row r="13" spans="1:3" x14ac:dyDescent="0.25">
      <c r="A13" s="7" t="s">
        <v>41</v>
      </c>
    </row>
    <row r="14" spans="1:3" x14ac:dyDescent="0.25">
      <c r="A14" s="6" t="s">
        <v>41</v>
      </c>
    </row>
    <row r="15" spans="1:3" x14ac:dyDescent="0.25">
      <c r="A15" s="7" t="s">
        <v>41</v>
      </c>
    </row>
    <row r="16" spans="1:3" x14ac:dyDescent="0.25">
      <c r="A16" s="6" t="s">
        <v>41</v>
      </c>
    </row>
    <row r="17" spans="1:1" x14ac:dyDescent="0.25">
      <c r="A17" s="7" t="s">
        <v>41</v>
      </c>
    </row>
    <row r="18" spans="1:1" x14ac:dyDescent="0.25">
      <c r="A18" s="6" t="s">
        <v>110</v>
      </c>
    </row>
    <row r="19" spans="1:1" x14ac:dyDescent="0.25">
      <c r="A19" s="7" t="s">
        <v>41</v>
      </c>
    </row>
    <row r="20" spans="1:1" x14ac:dyDescent="0.25">
      <c r="A20" s="6" t="s">
        <v>41</v>
      </c>
    </row>
    <row r="21" spans="1:1" x14ac:dyDescent="0.25">
      <c r="A21" s="7" t="s">
        <v>41</v>
      </c>
    </row>
    <row r="22" spans="1:1" x14ac:dyDescent="0.25">
      <c r="A22" s="6" t="s">
        <v>41</v>
      </c>
    </row>
    <row r="23" spans="1:1" x14ac:dyDescent="0.25">
      <c r="A23" s="7" t="s">
        <v>41</v>
      </c>
    </row>
    <row r="24" spans="1:1" x14ac:dyDescent="0.25">
      <c r="A24" s="6" t="s">
        <v>41</v>
      </c>
    </row>
    <row r="25" spans="1:1" x14ac:dyDescent="0.25">
      <c r="A25" s="7" t="s">
        <v>41</v>
      </c>
    </row>
    <row r="26" spans="1:1" x14ac:dyDescent="0.25">
      <c r="A26" s="6" t="s">
        <v>41</v>
      </c>
    </row>
    <row r="27" spans="1:1" x14ac:dyDescent="0.25">
      <c r="A27" s="7" t="s">
        <v>41</v>
      </c>
    </row>
    <row r="28" spans="1:1" x14ac:dyDescent="0.25">
      <c r="A28" s="6" t="s">
        <v>41</v>
      </c>
    </row>
    <row r="29" spans="1:1" x14ac:dyDescent="0.25">
      <c r="A29" s="7" t="s">
        <v>41</v>
      </c>
    </row>
    <row r="30" spans="1:1" x14ac:dyDescent="0.25">
      <c r="A30" s="6" t="s">
        <v>41</v>
      </c>
    </row>
    <row r="31" spans="1:1" x14ac:dyDescent="0.25">
      <c r="A31" s="7" t="s">
        <v>41</v>
      </c>
    </row>
    <row r="32" spans="1:1" x14ac:dyDescent="0.25">
      <c r="A32" s="6" t="s">
        <v>41</v>
      </c>
    </row>
    <row r="33" spans="1:1" x14ac:dyDescent="0.25">
      <c r="A33" s="7" t="s">
        <v>41</v>
      </c>
    </row>
    <row r="34" spans="1:1" x14ac:dyDescent="0.25">
      <c r="A34" s="6" t="s">
        <v>41</v>
      </c>
    </row>
    <row r="35" spans="1:1" x14ac:dyDescent="0.25">
      <c r="A35" s="7" t="s">
        <v>41</v>
      </c>
    </row>
    <row r="36" spans="1:1" x14ac:dyDescent="0.25">
      <c r="A36" s="6" t="s">
        <v>41</v>
      </c>
    </row>
    <row r="37" spans="1:1" x14ac:dyDescent="0.25">
      <c r="A37" s="7" t="s">
        <v>41</v>
      </c>
    </row>
    <row r="38" spans="1:1" x14ac:dyDescent="0.25">
      <c r="A38" s="6" t="s">
        <v>41</v>
      </c>
    </row>
    <row r="39" spans="1:1" x14ac:dyDescent="0.25">
      <c r="A39" s="7" t="s">
        <v>41</v>
      </c>
    </row>
    <row r="40" spans="1:1" x14ac:dyDescent="0.25">
      <c r="A40" s="6" t="s">
        <v>41</v>
      </c>
    </row>
    <row r="41" spans="1:1" x14ac:dyDescent="0.25">
      <c r="A41" s="7" t="s">
        <v>41</v>
      </c>
    </row>
    <row r="42" spans="1:1" x14ac:dyDescent="0.25">
      <c r="A42" s="6" t="s">
        <v>41</v>
      </c>
    </row>
    <row r="43" spans="1:1" x14ac:dyDescent="0.25">
      <c r="A43" s="7" t="s">
        <v>41</v>
      </c>
    </row>
    <row r="44" spans="1:1" x14ac:dyDescent="0.25">
      <c r="A44" s="6" t="s">
        <v>215</v>
      </c>
    </row>
    <row r="45" spans="1:1" x14ac:dyDescent="0.25">
      <c r="A45" s="7" t="s">
        <v>41</v>
      </c>
    </row>
    <row r="46" spans="1:1" x14ac:dyDescent="0.25">
      <c r="A46" s="6" t="s">
        <v>225</v>
      </c>
    </row>
    <row r="47" spans="1:1" x14ac:dyDescent="0.25">
      <c r="A47" s="7" t="s">
        <v>225</v>
      </c>
    </row>
    <row r="48" spans="1:1" x14ac:dyDescent="0.25">
      <c r="A48" s="6" t="s">
        <v>41</v>
      </c>
    </row>
    <row r="49" spans="1:1" x14ac:dyDescent="0.25">
      <c r="A49" s="7" t="s">
        <v>41</v>
      </c>
    </row>
    <row r="50" spans="1:1" x14ac:dyDescent="0.25">
      <c r="A50" s="6" t="s">
        <v>41</v>
      </c>
    </row>
    <row r="51" spans="1:1" x14ac:dyDescent="0.25">
      <c r="A51" s="7" t="s">
        <v>41</v>
      </c>
    </row>
    <row r="52" spans="1:1" x14ac:dyDescent="0.25">
      <c r="A52" s="6" t="s">
        <v>41</v>
      </c>
    </row>
    <row r="53" spans="1:1" x14ac:dyDescent="0.25">
      <c r="A53" s="7" t="s">
        <v>41</v>
      </c>
    </row>
    <row r="54" spans="1:1" x14ac:dyDescent="0.25">
      <c r="A54" s="6" t="s">
        <v>41</v>
      </c>
    </row>
    <row r="55" spans="1:1" x14ac:dyDescent="0.25">
      <c r="A55" s="7" t="s">
        <v>41</v>
      </c>
    </row>
    <row r="56" spans="1:1" x14ac:dyDescent="0.25">
      <c r="A56" s="6" t="s">
        <v>41</v>
      </c>
    </row>
    <row r="57" spans="1:1" x14ac:dyDescent="0.25">
      <c r="A57" s="7" t="s">
        <v>41</v>
      </c>
    </row>
    <row r="58" spans="1:1" x14ac:dyDescent="0.25">
      <c r="A58" s="6" t="s">
        <v>41</v>
      </c>
    </row>
    <row r="59" spans="1:1" x14ac:dyDescent="0.25">
      <c r="A59" s="7" t="s">
        <v>41</v>
      </c>
    </row>
    <row r="60" spans="1:1" x14ac:dyDescent="0.25">
      <c r="A60" s="6" t="s">
        <v>41</v>
      </c>
    </row>
    <row r="61" spans="1:1" x14ac:dyDescent="0.25">
      <c r="A61" s="7" t="s">
        <v>41</v>
      </c>
    </row>
    <row r="62" spans="1:1" x14ac:dyDescent="0.25">
      <c r="A62" s="6" t="s">
        <v>41</v>
      </c>
    </row>
    <row r="63" spans="1:1" x14ac:dyDescent="0.25">
      <c r="A63" s="7" t="s">
        <v>41</v>
      </c>
    </row>
    <row r="64" spans="1:1" x14ac:dyDescent="0.25">
      <c r="A64" s="6" t="s">
        <v>41</v>
      </c>
    </row>
    <row r="65" spans="1:1" x14ac:dyDescent="0.25">
      <c r="A65" s="7" t="s">
        <v>41</v>
      </c>
    </row>
    <row r="66" spans="1:1" x14ac:dyDescent="0.25">
      <c r="A66" s="6" t="s">
        <v>41</v>
      </c>
    </row>
    <row r="67" spans="1:1" x14ac:dyDescent="0.25">
      <c r="A67" s="7" t="s">
        <v>41</v>
      </c>
    </row>
    <row r="68" spans="1:1" x14ac:dyDescent="0.25">
      <c r="A68" s="6" t="s">
        <v>41</v>
      </c>
    </row>
    <row r="69" spans="1:1" x14ac:dyDescent="0.25">
      <c r="A69" s="7" t="s">
        <v>41</v>
      </c>
    </row>
    <row r="70" spans="1:1" x14ac:dyDescent="0.25">
      <c r="A70" s="6" t="s">
        <v>41</v>
      </c>
    </row>
    <row r="71" spans="1:1" x14ac:dyDescent="0.25">
      <c r="A71" s="7" t="s">
        <v>41</v>
      </c>
    </row>
    <row r="72" spans="1:1" x14ac:dyDescent="0.25">
      <c r="A72" s="6" t="s">
        <v>41</v>
      </c>
    </row>
    <row r="73" spans="1:1" x14ac:dyDescent="0.25">
      <c r="A73" s="7" t="s">
        <v>41</v>
      </c>
    </row>
    <row r="74" spans="1:1" x14ac:dyDescent="0.25">
      <c r="A74" s="6" t="s">
        <v>41</v>
      </c>
    </row>
    <row r="75" spans="1:1" x14ac:dyDescent="0.25">
      <c r="A75" s="7" t="s">
        <v>41</v>
      </c>
    </row>
    <row r="76" spans="1:1" x14ac:dyDescent="0.25">
      <c r="A76" s="6" t="s">
        <v>41</v>
      </c>
    </row>
    <row r="77" spans="1:1" x14ac:dyDescent="0.25">
      <c r="A77" s="7" t="s">
        <v>41</v>
      </c>
    </row>
    <row r="78" spans="1:1" x14ac:dyDescent="0.25">
      <c r="A78" s="6" t="s">
        <v>41</v>
      </c>
    </row>
    <row r="79" spans="1:1" x14ac:dyDescent="0.25">
      <c r="A79" s="7" t="s">
        <v>41</v>
      </c>
    </row>
    <row r="80" spans="1:1" x14ac:dyDescent="0.25">
      <c r="A80" s="6" t="s">
        <v>41</v>
      </c>
    </row>
    <row r="81" spans="1:1" x14ac:dyDescent="0.25">
      <c r="A81" s="7" t="s">
        <v>41</v>
      </c>
    </row>
    <row r="82" spans="1:1" x14ac:dyDescent="0.25">
      <c r="A82" s="6" t="s">
        <v>41</v>
      </c>
    </row>
    <row r="83" spans="1:1" x14ac:dyDescent="0.25">
      <c r="A83" s="7" t="s">
        <v>41</v>
      </c>
    </row>
    <row r="84" spans="1:1" x14ac:dyDescent="0.25">
      <c r="A84" s="6" t="s">
        <v>41</v>
      </c>
    </row>
    <row r="85" spans="1:1" x14ac:dyDescent="0.25">
      <c r="A85" s="7" t="s">
        <v>41</v>
      </c>
    </row>
    <row r="86" spans="1:1" x14ac:dyDescent="0.25">
      <c r="A86" s="6" t="s">
        <v>41</v>
      </c>
    </row>
    <row r="87" spans="1:1" x14ac:dyDescent="0.25">
      <c r="A87" s="7" t="s">
        <v>41</v>
      </c>
    </row>
    <row r="88" spans="1:1" x14ac:dyDescent="0.25">
      <c r="A88" s="6" t="s">
        <v>41</v>
      </c>
    </row>
    <row r="89" spans="1:1" x14ac:dyDescent="0.25">
      <c r="A89" s="7" t="s">
        <v>41</v>
      </c>
    </row>
    <row r="90" spans="1:1" x14ac:dyDescent="0.25">
      <c r="A90" s="6" t="s">
        <v>41</v>
      </c>
    </row>
    <row r="91" spans="1:1" x14ac:dyDescent="0.25">
      <c r="A91" s="7" t="s">
        <v>41</v>
      </c>
    </row>
    <row r="92" spans="1:1" x14ac:dyDescent="0.25">
      <c r="A92" s="6" t="s">
        <v>41</v>
      </c>
    </row>
    <row r="93" spans="1:1" x14ac:dyDescent="0.25">
      <c r="A93" s="7" t="s">
        <v>41</v>
      </c>
    </row>
    <row r="94" spans="1:1" x14ac:dyDescent="0.25">
      <c r="A94" s="6" t="s">
        <v>41</v>
      </c>
    </row>
    <row r="95" spans="1:1" x14ac:dyDescent="0.25">
      <c r="A95" s="7" t="s">
        <v>41</v>
      </c>
    </row>
    <row r="96" spans="1:1" x14ac:dyDescent="0.25">
      <c r="A96" s="6" t="s">
        <v>41</v>
      </c>
    </row>
    <row r="97" spans="1:1" x14ac:dyDescent="0.25">
      <c r="A97" s="7" t="s">
        <v>41</v>
      </c>
    </row>
    <row r="98" spans="1:1" x14ac:dyDescent="0.25">
      <c r="A98" s="6" t="s">
        <v>41</v>
      </c>
    </row>
    <row r="99" spans="1:1" x14ac:dyDescent="0.25">
      <c r="A99" s="7" t="s">
        <v>41</v>
      </c>
    </row>
    <row r="100" spans="1:1" x14ac:dyDescent="0.25">
      <c r="A100" s="6" t="s">
        <v>41</v>
      </c>
    </row>
    <row r="101" spans="1:1" x14ac:dyDescent="0.25">
      <c r="A101" s="7" t="s">
        <v>41</v>
      </c>
    </row>
    <row r="102" spans="1:1" x14ac:dyDescent="0.25">
      <c r="A102" s="6" t="s">
        <v>41</v>
      </c>
    </row>
    <row r="103" spans="1:1" x14ac:dyDescent="0.25">
      <c r="A103" s="7" t="s">
        <v>41</v>
      </c>
    </row>
    <row r="104" spans="1:1" x14ac:dyDescent="0.25">
      <c r="A104" s="6" t="s">
        <v>41</v>
      </c>
    </row>
    <row r="105" spans="1:1" x14ac:dyDescent="0.25">
      <c r="A105" s="7" t="s">
        <v>41</v>
      </c>
    </row>
    <row r="106" spans="1:1" x14ac:dyDescent="0.25">
      <c r="A106" s="6" t="s">
        <v>41</v>
      </c>
    </row>
    <row r="107" spans="1:1" x14ac:dyDescent="0.25">
      <c r="A107" s="7" t="s">
        <v>41</v>
      </c>
    </row>
    <row r="108" spans="1:1" x14ac:dyDescent="0.25">
      <c r="A108" s="6" t="s">
        <v>41</v>
      </c>
    </row>
    <row r="109" spans="1:1" x14ac:dyDescent="0.25">
      <c r="A109" s="7" t="s">
        <v>41</v>
      </c>
    </row>
    <row r="110" spans="1:1" x14ac:dyDescent="0.25">
      <c r="A110" s="6" t="s">
        <v>41</v>
      </c>
    </row>
    <row r="111" spans="1:1" x14ac:dyDescent="0.25">
      <c r="A111" s="7" t="s">
        <v>41</v>
      </c>
    </row>
    <row r="112" spans="1:1" x14ac:dyDescent="0.25">
      <c r="A112" s="6" t="s">
        <v>41</v>
      </c>
    </row>
    <row r="113" spans="1:1" x14ac:dyDescent="0.25">
      <c r="A113" s="7" t="s">
        <v>41</v>
      </c>
    </row>
    <row r="114" spans="1:1" x14ac:dyDescent="0.25">
      <c r="A114" s="6" t="s">
        <v>41</v>
      </c>
    </row>
    <row r="115" spans="1:1" x14ac:dyDescent="0.25">
      <c r="A115" s="7" t="s">
        <v>41</v>
      </c>
    </row>
    <row r="116" spans="1:1" x14ac:dyDescent="0.25">
      <c r="A116" s="6" t="s">
        <v>41</v>
      </c>
    </row>
    <row r="117" spans="1:1" x14ac:dyDescent="0.25">
      <c r="A117" s="7" t="s">
        <v>41</v>
      </c>
    </row>
    <row r="118" spans="1:1" x14ac:dyDescent="0.25">
      <c r="A118" s="6" t="s">
        <v>41</v>
      </c>
    </row>
    <row r="119" spans="1:1" x14ac:dyDescent="0.25">
      <c r="A119" s="7" t="s">
        <v>41</v>
      </c>
    </row>
    <row r="120" spans="1:1" x14ac:dyDescent="0.25">
      <c r="A120" s="6" t="s">
        <v>41</v>
      </c>
    </row>
    <row r="121" spans="1:1" x14ac:dyDescent="0.25">
      <c r="A121" s="7" t="s">
        <v>41</v>
      </c>
    </row>
    <row r="122" spans="1:1" x14ac:dyDescent="0.25">
      <c r="A122" s="6" t="s">
        <v>41</v>
      </c>
    </row>
    <row r="123" spans="1:1" x14ac:dyDescent="0.25">
      <c r="A123" s="7" t="s">
        <v>41</v>
      </c>
    </row>
    <row r="124" spans="1:1" x14ac:dyDescent="0.25">
      <c r="A124" s="6" t="s">
        <v>41</v>
      </c>
    </row>
    <row r="125" spans="1:1" x14ac:dyDescent="0.25">
      <c r="A125" s="7" t="s">
        <v>41</v>
      </c>
    </row>
    <row r="126" spans="1:1" x14ac:dyDescent="0.25">
      <c r="A126" s="6" t="s">
        <v>41</v>
      </c>
    </row>
    <row r="127" spans="1:1" x14ac:dyDescent="0.25">
      <c r="A127" s="7" t="s">
        <v>41</v>
      </c>
    </row>
    <row r="128" spans="1:1" x14ac:dyDescent="0.25">
      <c r="A128" s="6" t="s">
        <v>41</v>
      </c>
    </row>
    <row r="129" spans="1:1" x14ac:dyDescent="0.25">
      <c r="A129" s="7" t="s">
        <v>41</v>
      </c>
    </row>
    <row r="130" spans="1:1" x14ac:dyDescent="0.25">
      <c r="A130" s="6" t="s">
        <v>41</v>
      </c>
    </row>
    <row r="131" spans="1:1" x14ac:dyDescent="0.25">
      <c r="A131" s="7" t="s">
        <v>41</v>
      </c>
    </row>
    <row r="132" spans="1:1" x14ac:dyDescent="0.25">
      <c r="A132" s="6" t="s">
        <v>41</v>
      </c>
    </row>
    <row r="133" spans="1:1" x14ac:dyDescent="0.25">
      <c r="A133" s="7" t="s">
        <v>41</v>
      </c>
    </row>
    <row r="134" spans="1:1" x14ac:dyDescent="0.25">
      <c r="A134" s="6" t="s">
        <v>41</v>
      </c>
    </row>
    <row r="135" spans="1:1" x14ac:dyDescent="0.25">
      <c r="A135" s="7" t="s">
        <v>41</v>
      </c>
    </row>
    <row r="136" spans="1:1" x14ac:dyDescent="0.25">
      <c r="A136" s="6" t="s">
        <v>41</v>
      </c>
    </row>
    <row r="137" spans="1:1" x14ac:dyDescent="0.25">
      <c r="A137" s="7" t="s">
        <v>41</v>
      </c>
    </row>
    <row r="138" spans="1:1" x14ac:dyDescent="0.25">
      <c r="A138" s="6" t="s">
        <v>41</v>
      </c>
    </row>
    <row r="139" spans="1:1" x14ac:dyDescent="0.25">
      <c r="A139" s="7" t="s">
        <v>41</v>
      </c>
    </row>
    <row r="140" spans="1:1" x14ac:dyDescent="0.25">
      <c r="A140" s="6" t="s">
        <v>41</v>
      </c>
    </row>
    <row r="141" spans="1:1" x14ac:dyDescent="0.25">
      <c r="A141" s="7" t="s">
        <v>41</v>
      </c>
    </row>
    <row r="142" spans="1:1" x14ac:dyDescent="0.25">
      <c r="A142" s="6" t="s">
        <v>41</v>
      </c>
    </row>
    <row r="143" spans="1:1" x14ac:dyDescent="0.25">
      <c r="A143" s="7" t="s">
        <v>41</v>
      </c>
    </row>
    <row r="144" spans="1:1" x14ac:dyDescent="0.25">
      <c r="A144" s="6" t="s">
        <v>41</v>
      </c>
    </row>
    <row r="145" spans="1:1" x14ac:dyDescent="0.25">
      <c r="A145" s="7" t="s">
        <v>41</v>
      </c>
    </row>
    <row r="146" spans="1:1" x14ac:dyDescent="0.25">
      <c r="A146" s="6" t="s">
        <v>41</v>
      </c>
    </row>
    <row r="147" spans="1:1" x14ac:dyDescent="0.25">
      <c r="A147" s="7" t="s">
        <v>41</v>
      </c>
    </row>
    <row r="148" spans="1:1" x14ac:dyDescent="0.25">
      <c r="A148" s="6" t="s">
        <v>41</v>
      </c>
    </row>
    <row r="149" spans="1:1" x14ac:dyDescent="0.25">
      <c r="A149" s="7" t="s">
        <v>41</v>
      </c>
    </row>
    <row r="150" spans="1:1" x14ac:dyDescent="0.25">
      <c r="A150" s="6" t="s">
        <v>41</v>
      </c>
    </row>
    <row r="151" spans="1:1" x14ac:dyDescent="0.25">
      <c r="A151" s="7" t="s">
        <v>41</v>
      </c>
    </row>
    <row r="152" spans="1:1" x14ac:dyDescent="0.25">
      <c r="A152" s="6" t="s">
        <v>41</v>
      </c>
    </row>
    <row r="153" spans="1:1" x14ac:dyDescent="0.25">
      <c r="A153" s="7" t="s">
        <v>41</v>
      </c>
    </row>
    <row r="154" spans="1:1" x14ac:dyDescent="0.25">
      <c r="A154" s="6" t="s">
        <v>41</v>
      </c>
    </row>
    <row r="155" spans="1:1" x14ac:dyDescent="0.25">
      <c r="A155" s="7" t="s">
        <v>41</v>
      </c>
    </row>
    <row r="156" spans="1:1" x14ac:dyDescent="0.25">
      <c r="A156" s="6" t="s">
        <v>41</v>
      </c>
    </row>
    <row r="157" spans="1:1" x14ac:dyDescent="0.25">
      <c r="A157" s="7" t="s">
        <v>41</v>
      </c>
    </row>
    <row r="158" spans="1:1" x14ac:dyDescent="0.25">
      <c r="A158" s="6" t="s">
        <v>41</v>
      </c>
    </row>
    <row r="159" spans="1:1" x14ac:dyDescent="0.25">
      <c r="A159" s="7" t="s">
        <v>41</v>
      </c>
    </row>
    <row r="160" spans="1:1" x14ac:dyDescent="0.25">
      <c r="A160" s="6" t="s">
        <v>41</v>
      </c>
    </row>
    <row r="161" spans="1:1" x14ac:dyDescent="0.25">
      <c r="A161" s="7" t="s">
        <v>41</v>
      </c>
    </row>
    <row r="162" spans="1:1" x14ac:dyDescent="0.25">
      <c r="A162" s="6" t="s">
        <v>41</v>
      </c>
    </row>
    <row r="163" spans="1:1" x14ac:dyDescent="0.25">
      <c r="A163" s="7" t="s">
        <v>41</v>
      </c>
    </row>
    <row r="164" spans="1:1" x14ac:dyDescent="0.25">
      <c r="A164" s="6" t="s">
        <v>41</v>
      </c>
    </row>
    <row r="165" spans="1:1" x14ac:dyDescent="0.25">
      <c r="A165" s="7" t="s">
        <v>41</v>
      </c>
    </row>
    <row r="166" spans="1:1" x14ac:dyDescent="0.25">
      <c r="A166" s="6" t="s">
        <v>41</v>
      </c>
    </row>
    <row r="167" spans="1:1" x14ac:dyDescent="0.25">
      <c r="A167" s="7" t="s">
        <v>41</v>
      </c>
    </row>
    <row r="168" spans="1:1" x14ac:dyDescent="0.25">
      <c r="A168" s="6" t="s">
        <v>41</v>
      </c>
    </row>
    <row r="169" spans="1:1" x14ac:dyDescent="0.25">
      <c r="A169" s="7" t="s">
        <v>41</v>
      </c>
    </row>
    <row r="170" spans="1:1" x14ac:dyDescent="0.25">
      <c r="A170" s="6" t="s">
        <v>41</v>
      </c>
    </row>
    <row r="171" spans="1:1" x14ac:dyDescent="0.25">
      <c r="A171" s="7" t="s">
        <v>41</v>
      </c>
    </row>
    <row r="172" spans="1:1" x14ac:dyDescent="0.25">
      <c r="A172" s="6" t="s">
        <v>41</v>
      </c>
    </row>
    <row r="173" spans="1:1" x14ac:dyDescent="0.25">
      <c r="A173" s="7" t="s">
        <v>41</v>
      </c>
    </row>
    <row r="174" spans="1:1" x14ac:dyDescent="0.25">
      <c r="A174" s="6" t="s">
        <v>41</v>
      </c>
    </row>
    <row r="175" spans="1:1" x14ac:dyDescent="0.25">
      <c r="A175" s="7" t="s">
        <v>41</v>
      </c>
    </row>
    <row r="176" spans="1:1" x14ac:dyDescent="0.25">
      <c r="A176" s="6" t="s">
        <v>41</v>
      </c>
    </row>
    <row r="177" spans="1:1" x14ac:dyDescent="0.25">
      <c r="A177" s="7" t="s">
        <v>41</v>
      </c>
    </row>
    <row r="178" spans="1:1" x14ac:dyDescent="0.25">
      <c r="A178" s="6" t="s">
        <v>41</v>
      </c>
    </row>
    <row r="179" spans="1:1" x14ac:dyDescent="0.25">
      <c r="A179" s="7" t="s">
        <v>41</v>
      </c>
    </row>
    <row r="180" spans="1:1" x14ac:dyDescent="0.25">
      <c r="A180" s="6" t="s">
        <v>41</v>
      </c>
    </row>
    <row r="181" spans="1:1" x14ac:dyDescent="0.25">
      <c r="A181" s="7" t="s">
        <v>41</v>
      </c>
    </row>
    <row r="182" spans="1:1" x14ac:dyDescent="0.25">
      <c r="A182" s="6" t="s">
        <v>41</v>
      </c>
    </row>
    <row r="183" spans="1:1" x14ac:dyDescent="0.25">
      <c r="A183" s="7" t="s">
        <v>41</v>
      </c>
    </row>
    <row r="184" spans="1:1" x14ac:dyDescent="0.25">
      <c r="A184" s="6" t="s">
        <v>41</v>
      </c>
    </row>
    <row r="185" spans="1:1" x14ac:dyDescent="0.25">
      <c r="A185" s="7" t="s">
        <v>41</v>
      </c>
    </row>
    <row r="186" spans="1:1" x14ac:dyDescent="0.25">
      <c r="A186" s="6" t="s">
        <v>41</v>
      </c>
    </row>
    <row r="187" spans="1:1" x14ac:dyDescent="0.25">
      <c r="A187" s="7" t="s">
        <v>41</v>
      </c>
    </row>
    <row r="188" spans="1:1" x14ac:dyDescent="0.25">
      <c r="A188" s="6" t="s">
        <v>41</v>
      </c>
    </row>
    <row r="189" spans="1:1" x14ac:dyDescent="0.25">
      <c r="A189" s="7" t="s">
        <v>41</v>
      </c>
    </row>
    <row r="190" spans="1:1" x14ac:dyDescent="0.25">
      <c r="A190" s="6" t="s">
        <v>41</v>
      </c>
    </row>
    <row r="191" spans="1:1" x14ac:dyDescent="0.25">
      <c r="A191" s="7" t="s">
        <v>41</v>
      </c>
    </row>
    <row r="192" spans="1:1" x14ac:dyDescent="0.25">
      <c r="A192" s="6" t="s">
        <v>41</v>
      </c>
    </row>
    <row r="193" spans="1:1" x14ac:dyDescent="0.25">
      <c r="A193" s="7" t="s">
        <v>41</v>
      </c>
    </row>
    <row r="194" spans="1:1" x14ac:dyDescent="0.25">
      <c r="A194" s="6" t="s">
        <v>41</v>
      </c>
    </row>
    <row r="195" spans="1:1" x14ac:dyDescent="0.25">
      <c r="A195" s="7" t="s">
        <v>41</v>
      </c>
    </row>
    <row r="196" spans="1:1" x14ac:dyDescent="0.25">
      <c r="A196" s="6" t="s">
        <v>41</v>
      </c>
    </row>
    <row r="197" spans="1:1" x14ac:dyDescent="0.25">
      <c r="A197" s="7" t="s">
        <v>41</v>
      </c>
    </row>
    <row r="198" spans="1:1" x14ac:dyDescent="0.25">
      <c r="A198" s="6" t="s">
        <v>41</v>
      </c>
    </row>
    <row r="199" spans="1:1" x14ac:dyDescent="0.25">
      <c r="A199" s="7" t="s">
        <v>41</v>
      </c>
    </row>
    <row r="200" spans="1:1" x14ac:dyDescent="0.25">
      <c r="A200" s="6" t="s">
        <v>41</v>
      </c>
    </row>
    <row r="201" spans="1:1" x14ac:dyDescent="0.25">
      <c r="A201" s="7" t="s">
        <v>41</v>
      </c>
    </row>
    <row r="202" spans="1:1" x14ac:dyDescent="0.25">
      <c r="A202" s="6" t="s">
        <v>41</v>
      </c>
    </row>
    <row r="203" spans="1:1" x14ac:dyDescent="0.25">
      <c r="A203" s="7" t="s">
        <v>41</v>
      </c>
    </row>
    <row r="204" spans="1:1" x14ac:dyDescent="0.25">
      <c r="A204" s="6" t="s">
        <v>41</v>
      </c>
    </row>
    <row r="205" spans="1:1" x14ac:dyDescent="0.25">
      <c r="A205" s="7" t="s">
        <v>41</v>
      </c>
    </row>
    <row r="206" spans="1:1" x14ac:dyDescent="0.25">
      <c r="A206" s="6" t="s">
        <v>41</v>
      </c>
    </row>
    <row r="207" spans="1:1" x14ac:dyDescent="0.25">
      <c r="A207" s="7" t="s">
        <v>41</v>
      </c>
    </row>
    <row r="208" spans="1:1" x14ac:dyDescent="0.25">
      <c r="A208" s="6" t="s">
        <v>41</v>
      </c>
    </row>
    <row r="209" spans="1:1" x14ac:dyDescent="0.25">
      <c r="A209" s="7" t="s">
        <v>41</v>
      </c>
    </row>
    <row r="210" spans="1:1" x14ac:dyDescent="0.25">
      <c r="A210" s="6" t="s">
        <v>41</v>
      </c>
    </row>
    <row r="211" spans="1:1" x14ac:dyDescent="0.25">
      <c r="A211" s="7" t="s">
        <v>41</v>
      </c>
    </row>
    <row r="212" spans="1:1" x14ac:dyDescent="0.25">
      <c r="A212" s="6" t="s">
        <v>41</v>
      </c>
    </row>
    <row r="213" spans="1:1" x14ac:dyDescent="0.25">
      <c r="A213" s="7" t="s">
        <v>41</v>
      </c>
    </row>
    <row r="214" spans="1:1" x14ac:dyDescent="0.25">
      <c r="A214" s="6" t="s">
        <v>41</v>
      </c>
    </row>
    <row r="215" spans="1:1" x14ac:dyDescent="0.25">
      <c r="A215" s="7" t="s">
        <v>41</v>
      </c>
    </row>
    <row r="216" spans="1:1" x14ac:dyDescent="0.25">
      <c r="A216" s="6" t="s">
        <v>41</v>
      </c>
    </row>
    <row r="217" spans="1:1" x14ac:dyDescent="0.25">
      <c r="A217" s="7" t="s">
        <v>41</v>
      </c>
    </row>
    <row r="218" spans="1:1" x14ac:dyDescent="0.25">
      <c r="A218" s="6" t="s">
        <v>41</v>
      </c>
    </row>
    <row r="219" spans="1:1" x14ac:dyDescent="0.25">
      <c r="A219" s="7" t="s">
        <v>41</v>
      </c>
    </row>
    <row r="220" spans="1:1" x14ac:dyDescent="0.25">
      <c r="A220" s="6" t="s">
        <v>41</v>
      </c>
    </row>
    <row r="221" spans="1:1" x14ac:dyDescent="0.25">
      <c r="A221" s="7" t="s">
        <v>41</v>
      </c>
    </row>
    <row r="222" spans="1:1" x14ac:dyDescent="0.25">
      <c r="A222" s="6" t="s">
        <v>41</v>
      </c>
    </row>
    <row r="223" spans="1:1" x14ac:dyDescent="0.25">
      <c r="A223" s="7" t="s">
        <v>41</v>
      </c>
    </row>
    <row r="224" spans="1:1" x14ac:dyDescent="0.25">
      <c r="A224" s="6" t="s">
        <v>41</v>
      </c>
    </row>
    <row r="225" spans="1:1" x14ac:dyDescent="0.25">
      <c r="A225" s="7" t="s">
        <v>41</v>
      </c>
    </row>
    <row r="226" spans="1:1" x14ac:dyDescent="0.25">
      <c r="A226" s="6" t="s">
        <v>41</v>
      </c>
    </row>
    <row r="227" spans="1:1" x14ac:dyDescent="0.25">
      <c r="A227" s="7" t="s">
        <v>41</v>
      </c>
    </row>
    <row r="228" spans="1:1" x14ac:dyDescent="0.25">
      <c r="A228" s="6" t="s">
        <v>41</v>
      </c>
    </row>
    <row r="229" spans="1:1" x14ac:dyDescent="0.25">
      <c r="A229" s="7" t="s">
        <v>41</v>
      </c>
    </row>
    <row r="230" spans="1:1" x14ac:dyDescent="0.25">
      <c r="A230" s="6" t="s">
        <v>41</v>
      </c>
    </row>
    <row r="231" spans="1:1" x14ac:dyDescent="0.25">
      <c r="A231" s="7" t="s">
        <v>41</v>
      </c>
    </row>
    <row r="232" spans="1:1" x14ac:dyDescent="0.25">
      <c r="A232" s="6" t="s">
        <v>41</v>
      </c>
    </row>
    <row r="233" spans="1:1" x14ac:dyDescent="0.25">
      <c r="A233" s="7" t="s">
        <v>41</v>
      </c>
    </row>
    <row r="234" spans="1:1" x14ac:dyDescent="0.25">
      <c r="A234" s="6" t="s">
        <v>41</v>
      </c>
    </row>
    <row r="235" spans="1:1" x14ac:dyDescent="0.25">
      <c r="A235" s="7" t="s">
        <v>41</v>
      </c>
    </row>
    <row r="236" spans="1:1" x14ac:dyDescent="0.25">
      <c r="A236" s="6" t="s">
        <v>41</v>
      </c>
    </row>
    <row r="237" spans="1:1" x14ac:dyDescent="0.25">
      <c r="A237" s="7" t="s">
        <v>41</v>
      </c>
    </row>
    <row r="238" spans="1:1" x14ac:dyDescent="0.25">
      <c r="A238" s="6" t="s">
        <v>41</v>
      </c>
    </row>
    <row r="239" spans="1:1" x14ac:dyDescent="0.25">
      <c r="A239" s="7" t="s">
        <v>41</v>
      </c>
    </row>
    <row r="240" spans="1:1" x14ac:dyDescent="0.25">
      <c r="A240" s="6" t="s">
        <v>41</v>
      </c>
    </row>
    <row r="241" spans="1:1" x14ac:dyDescent="0.25">
      <c r="A241" s="7" t="s">
        <v>41</v>
      </c>
    </row>
    <row r="242" spans="1:1" x14ac:dyDescent="0.25">
      <c r="A242" s="6" t="s">
        <v>41</v>
      </c>
    </row>
    <row r="243" spans="1:1" x14ac:dyDescent="0.25">
      <c r="A243" s="7" t="s">
        <v>41</v>
      </c>
    </row>
    <row r="244" spans="1:1" x14ac:dyDescent="0.25">
      <c r="A244" s="6" t="s">
        <v>41</v>
      </c>
    </row>
    <row r="245" spans="1:1" x14ac:dyDescent="0.25">
      <c r="A245" s="7" t="s">
        <v>41</v>
      </c>
    </row>
    <row r="246" spans="1:1" x14ac:dyDescent="0.25">
      <c r="A246" s="6" t="s">
        <v>41</v>
      </c>
    </row>
    <row r="247" spans="1:1" x14ac:dyDescent="0.25">
      <c r="A247" s="7" t="s">
        <v>41</v>
      </c>
    </row>
    <row r="248" spans="1:1" x14ac:dyDescent="0.25">
      <c r="A248" s="6" t="s">
        <v>41</v>
      </c>
    </row>
    <row r="249" spans="1:1" x14ac:dyDescent="0.25">
      <c r="A249" s="7" t="s">
        <v>41</v>
      </c>
    </row>
    <row r="250" spans="1:1" x14ac:dyDescent="0.25">
      <c r="A250" s="6" t="s">
        <v>41</v>
      </c>
    </row>
    <row r="251" spans="1:1" x14ac:dyDescent="0.25">
      <c r="A251" s="7" t="s">
        <v>41</v>
      </c>
    </row>
    <row r="252" spans="1:1" x14ac:dyDescent="0.25">
      <c r="A252" s="6" t="s">
        <v>41</v>
      </c>
    </row>
    <row r="253" spans="1:1" x14ac:dyDescent="0.25">
      <c r="A253" s="7" t="s">
        <v>41</v>
      </c>
    </row>
    <row r="254" spans="1:1" x14ac:dyDescent="0.25">
      <c r="A254" s="6" t="s">
        <v>41</v>
      </c>
    </row>
    <row r="255" spans="1:1" x14ac:dyDescent="0.25">
      <c r="A255" s="7" t="s">
        <v>41</v>
      </c>
    </row>
    <row r="256" spans="1:1" x14ac:dyDescent="0.25">
      <c r="A256" s="6" t="s">
        <v>41</v>
      </c>
    </row>
    <row r="257" spans="1:1" x14ac:dyDescent="0.25">
      <c r="A257" s="7" t="s">
        <v>41</v>
      </c>
    </row>
    <row r="258" spans="1:1" x14ac:dyDescent="0.25">
      <c r="A258" s="6" t="s">
        <v>41</v>
      </c>
    </row>
    <row r="259" spans="1:1" x14ac:dyDescent="0.25">
      <c r="A259" s="7" t="s">
        <v>41</v>
      </c>
    </row>
    <row r="260" spans="1:1" x14ac:dyDescent="0.25">
      <c r="A260" s="6" t="s">
        <v>41</v>
      </c>
    </row>
    <row r="261" spans="1:1" x14ac:dyDescent="0.25">
      <c r="A261" s="7" t="s">
        <v>41</v>
      </c>
    </row>
    <row r="262" spans="1:1" x14ac:dyDescent="0.25">
      <c r="A262" s="6" t="s">
        <v>41</v>
      </c>
    </row>
    <row r="263" spans="1:1" x14ac:dyDescent="0.25">
      <c r="A263" s="7" t="s">
        <v>41</v>
      </c>
    </row>
    <row r="264" spans="1:1" x14ac:dyDescent="0.25">
      <c r="A264" s="6" t="s">
        <v>41</v>
      </c>
    </row>
    <row r="265" spans="1:1" x14ac:dyDescent="0.25">
      <c r="A265" s="7" t="s">
        <v>41</v>
      </c>
    </row>
    <row r="266" spans="1:1" x14ac:dyDescent="0.25">
      <c r="A266" s="6" t="s">
        <v>41</v>
      </c>
    </row>
    <row r="267" spans="1:1" x14ac:dyDescent="0.25">
      <c r="A267" s="7" t="s">
        <v>41</v>
      </c>
    </row>
    <row r="268" spans="1:1" x14ac:dyDescent="0.25">
      <c r="A268" s="6" t="s">
        <v>41</v>
      </c>
    </row>
    <row r="269" spans="1:1" x14ac:dyDescent="0.25">
      <c r="A269" s="7" t="s">
        <v>41</v>
      </c>
    </row>
    <row r="270" spans="1:1" x14ac:dyDescent="0.25">
      <c r="A270" s="6" t="s">
        <v>41</v>
      </c>
    </row>
    <row r="271" spans="1:1" x14ac:dyDescent="0.25">
      <c r="A271" s="7" t="s">
        <v>41</v>
      </c>
    </row>
    <row r="272" spans="1:1" x14ac:dyDescent="0.25">
      <c r="A272" s="6" t="s">
        <v>41</v>
      </c>
    </row>
    <row r="273" spans="1:1" x14ac:dyDescent="0.25">
      <c r="A273" s="7" t="s">
        <v>41</v>
      </c>
    </row>
    <row r="274" spans="1:1" x14ac:dyDescent="0.25">
      <c r="A274" s="6" t="s">
        <v>41</v>
      </c>
    </row>
    <row r="275" spans="1:1" x14ac:dyDescent="0.25">
      <c r="A275" s="7" t="s">
        <v>41</v>
      </c>
    </row>
    <row r="276" spans="1:1" x14ac:dyDescent="0.25">
      <c r="A276" s="6" t="s">
        <v>41</v>
      </c>
    </row>
    <row r="277" spans="1:1" x14ac:dyDescent="0.25">
      <c r="A277" s="7" t="s">
        <v>41</v>
      </c>
    </row>
    <row r="278" spans="1:1" x14ac:dyDescent="0.25">
      <c r="A278" s="6" t="s">
        <v>41</v>
      </c>
    </row>
    <row r="279" spans="1:1" x14ac:dyDescent="0.25">
      <c r="A279" s="7" t="s">
        <v>41</v>
      </c>
    </row>
    <row r="280" spans="1:1" x14ac:dyDescent="0.25">
      <c r="A280" s="6" t="s">
        <v>41</v>
      </c>
    </row>
    <row r="281" spans="1:1" x14ac:dyDescent="0.25">
      <c r="A281" s="7" t="s">
        <v>41</v>
      </c>
    </row>
    <row r="282" spans="1:1" x14ac:dyDescent="0.25">
      <c r="A282" s="6" t="s">
        <v>41</v>
      </c>
    </row>
    <row r="283" spans="1:1" x14ac:dyDescent="0.25">
      <c r="A283" s="7" t="s">
        <v>41</v>
      </c>
    </row>
    <row r="284" spans="1:1" x14ac:dyDescent="0.25">
      <c r="A284" s="6" t="s">
        <v>41</v>
      </c>
    </row>
    <row r="285" spans="1:1" x14ac:dyDescent="0.25">
      <c r="A285" s="7" t="s">
        <v>41</v>
      </c>
    </row>
    <row r="286" spans="1:1" x14ac:dyDescent="0.25">
      <c r="A286" s="6" t="s">
        <v>41</v>
      </c>
    </row>
    <row r="287" spans="1:1" x14ac:dyDescent="0.25">
      <c r="A287" s="7" t="s">
        <v>41</v>
      </c>
    </row>
    <row r="288" spans="1:1" x14ac:dyDescent="0.25">
      <c r="A288" s="6" t="s">
        <v>41</v>
      </c>
    </row>
    <row r="289" spans="1:1" x14ac:dyDescent="0.25">
      <c r="A289" s="7" t="s">
        <v>41</v>
      </c>
    </row>
    <row r="290" spans="1:1" x14ac:dyDescent="0.25">
      <c r="A290" s="6" t="s">
        <v>41</v>
      </c>
    </row>
    <row r="291" spans="1:1" x14ac:dyDescent="0.25">
      <c r="A291" s="7" t="s">
        <v>41</v>
      </c>
    </row>
    <row r="292" spans="1:1" x14ac:dyDescent="0.25">
      <c r="A292" s="6" t="s">
        <v>41</v>
      </c>
    </row>
    <row r="293" spans="1:1" x14ac:dyDescent="0.25">
      <c r="A293" s="7" t="s">
        <v>41</v>
      </c>
    </row>
    <row r="294" spans="1:1" x14ac:dyDescent="0.25">
      <c r="A294" s="6" t="s">
        <v>41</v>
      </c>
    </row>
    <row r="295" spans="1:1" x14ac:dyDescent="0.25">
      <c r="A295" s="7" t="s">
        <v>41</v>
      </c>
    </row>
    <row r="296" spans="1:1" x14ac:dyDescent="0.25">
      <c r="A296" s="6" t="s">
        <v>41</v>
      </c>
    </row>
    <row r="297" spans="1:1" x14ac:dyDescent="0.25">
      <c r="A297" s="7" t="s">
        <v>41</v>
      </c>
    </row>
    <row r="298" spans="1:1" x14ac:dyDescent="0.25">
      <c r="A298" s="6" t="s">
        <v>41</v>
      </c>
    </row>
    <row r="299" spans="1:1" x14ac:dyDescent="0.25">
      <c r="A299" s="7" t="s">
        <v>41</v>
      </c>
    </row>
    <row r="300" spans="1:1" x14ac:dyDescent="0.25">
      <c r="A300" s="6" t="s">
        <v>41</v>
      </c>
    </row>
    <row r="301" spans="1:1" x14ac:dyDescent="0.25">
      <c r="A301" s="7" t="s">
        <v>41</v>
      </c>
    </row>
    <row r="302" spans="1:1" x14ac:dyDescent="0.25">
      <c r="A302" s="6" t="s">
        <v>41</v>
      </c>
    </row>
    <row r="303" spans="1:1" x14ac:dyDescent="0.25">
      <c r="A303" s="7" t="s">
        <v>41</v>
      </c>
    </row>
    <row r="304" spans="1:1" x14ac:dyDescent="0.25">
      <c r="A304" s="6" t="s">
        <v>41</v>
      </c>
    </row>
    <row r="305" spans="1:1" x14ac:dyDescent="0.25">
      <c r="A305" s="7" t="s">
        <v>41</v>
      </c>
    </row>
    <row r="306" spans="1:1" x14ac:dyDescent="0.25">
      <c r="A306" s="6" t="s">
        <v>41</v>
      </c>
    </row>
    <row r="307" spans="1:1" x14ac:dyDescent="0.25">
      <c r="A307" s="7" t="s">
        <v>41</v>
      </c>
    </row>
    <row r="308" spans="1:1" x14ac:dyDescent="0.25">
      <c r="A308" s="6" t="s">
        <v>41</v>
      </c>
    </row>
    <row r="309" spans="1:1" x14ac:dyDescent="0.25">
      <c r="A309" s="7" t="s">
        <v>41</v>
      </c>
    </row>
    <row r="310" spans="1:1" x14ac:dyDescent="0.25">
      <c r="A310" s="6" t="s">
        <v>41</v>
      </c>
    </row>
    <row r="311" spans="1:1" x14ac:dyDescent="0.25">
      <c r="A311" s="7" t="s">
        <v>41</v>
      </c>
    </row>
    <row r="312" spans="1:1" x14ac:dyDescent="0.25">
      <c r="A312" s="6" t="s">
        <v>41</v>
      </c>
    </row>
    <row r="313" spans="1:1" x14ac:dyDescent="0.25">
      <c r="A313" s="7" t="s">
        <v>41</v>
      </c>
    </row>
    <row r="314" spans="1:1" x14ac:dyDescent="0.25">
      <c r="A314" s="6" t="s">
        <v>41</v>
      </c>
    </row>
    <row r="315" spans="1:1" x14ac:dyDescent="0.25">
      <c r="A315" s="7" t="s">
        <v>41</v>
      </c>
    </row>
    <row r="316" spans="1:1" x14ac:dyDescent="0.25">
      <c r="A316" s="6" t="s">
        <v>41</v>
      </c>
    </row>
    <row r="317" spans="1:1" x14ac:dyDescent="0.25">
      <c r="A317" s="7" t="s">
        <v>41</v>
      </c>
    </row>
    <row r="318" spans="1:1" x14ac:dyDescent="0.25">
      <c r="A318" s="6" t="s">
        <v>41</v>
      </c>
    </row>
    <row r="319" spans="1:1" x14ac:dyDescent="0.25">
      <c r="A319" s="7" t="s">
        <v>41</v>
      </c>
    </row>
    <row r="320" spans="1:1" x14ac:dyDescent="0.25">
      <c r="A320" s="6" t="s">
        <v>41</v>
      </c>
    </row>
    <row r="321" spans="1:1" x14ac:dyDescent="0.25">
      <c r="A321" s="7" t="s">
        <v>41</v>
      </c>
    </row>
    <row r="322" spans="1:1" x14ac:dyDescent="0.25">
      <c r="A322" s="6" t="s">
        <v>41</v>
      </c>
    </row>
    <row r="323" spans="1:1" x14ac:dyDescent="0.25">
      <c r="A323" s="7" t="s">
        <v>41</v>
      </c>
    </row>
    <row r="324" spans="1:1" x14ac:dyDescent="0.25">
      <c r="A324" s="6" t="s">
        <v>41</v>
      </c>
    </row>
    <row r="325" spans="1:1" x14ac:dyDescent="0.25">
      <c r="A325" s="7" t="s">
        <v>41</v>
      </c>
    </row>
    <row r="326" spans="1:1" x14ac:dyDescent="0.25">
      <c r="A326" s="6" t="s">
        <v>41</v>
      </c>
    </row>
    <row r="327" spans="1:1" x14ac:dyDescent="0.25">
      <c r="A327" s="7" t="s">
        <v>41</v>
      </c>
    </row>
    <row r="328" spans="1:1" x14ac:dyDescent="0.25">
      <c r="A328" s="6" t="s">
        <v>41</v>
      </c>
    </row>
    <row r="329" spans="1:1" x14ac:dyDescent="0.25">
      <c r="A329" s="7" t="s">
        <v>41</v>
      </c>
    </row>
    <row r="330" spans="1:1" x14ac:dyDescent="0.25">
      <c r="A330" s="6" t="s">
        <v>41</v>
      </c>
    </row>
    <row r="331" spans="1:1" x14ac:dyDescent="0.25">
      <c r="A331" s="7" t="s">
        <v>41</v>
      </c>
    </row>
    <row r="332" spans="1:1" x14ac:dyDescent="0.25">
      <c r="A332" s="6" t="s">
        <v>41</v>
      </c>
    </row>
    <row r="333" spans="1:1" x14ac:dyDescent="0.25">
      <c r="A333" s="7" t="s">
        <v>41</v>
      </c>
    </row>
    <row r="334" spans="1:1" x14ac:dyDescent="0.25">
      <c r="A334" s="6" t="s">
        <v>41</v>
      </c>
    </row>
    <row r="335" spans="1:1" x14ac:dyDescent="0.25">
      <c r="A335" s="7" t="s">
        <v>41</v>
      </c>
    </row>
    <row r="336" spans="1:1" x14ac:dyDescent="0.25">
      <c r="A336" s="6" t="s">
        <v>41</v>
      </c>
    </row>
    <row r="337" spans="1:1" x14ac:dyDescent="0.25">
      <c r="A337" s="7" t="s">
        <v>41</v>
      </c>
    </row>
    <row r="338" spans="1:1" x14ac:dyDescent="0.25">
      <c r="A338" s="6" t="s">
        <v>41</v>
      </c>
    </row>
    <row r="339" spans="1:1" x14ac:dyDescent="0.25">
      <c r="A339" s="7" t="s">
        <v>41</v>
      </c>
    </row>
    <row r="340" spans="1:1" x14ac:dyDescent="0.25">
      <c r="A340" s="6" t="s">
        <v>41</v>
      </c>
    </row>
    <row r="341" spans="1:1" x14ac:dyDescent="0.25">
      <c r="A341" s="7" t="s">
        <v>41</v>
      </c>
    </row>
    <row r="342" spans="1:1" x14ac:dyDescent="0.25">
      <c r="A342" s="6" t="s">
        <v>41</v>
      </c>
    </row>
    <row r="343" spans="1:1" x14ac:dyDescent="0.25">
      <c r="A343" s="7" t="s">
        <v>41</v>
      </c>
    </row>
    <row r="344" spans="1:1" x14ac:dyDescent="0.25">
      <c r="A344" s="6" t="s">
        <v>41</v>
      </c>
    </row>
    <row r="345" spans="1:1" x14ac:dyDescent="0.25">
      <c r="A345" s="7" t="s">
        <v>41</v>
      </c>
    </row>
    <row r="346" spans="1:1" x14ac:dyDescent="0.25">
      <c r="A346" s="6" t="s">
        <v>41</v>
      </c>
    </row>
    <row r="347" spans="1:1" x14ac:dyDescent="0.25">
      <c r="A347" s="7" t="s">
        <v>41</v>
      </c>
    </row>
    <row r="348" spans="1:1" x14ac:dyDescent="0.25">
      <c r="A348" s="6" t="s">
        <v>41</v>
      </c>
    </row>
    <row r="349" spans="1:1" x14ac:dyDescent="0.25">
      <c r="A349" s="7" t="s">
        <v>41</v>
      </c>
    </row>
    <row r="350" spans="1:1" x14ac:dyDescent="0.25">
      <c r="A350" s="6" t="s">
        <v>41</v>
      </c>
    </row>
    <row r="351" spans="1:1" x14ac:dyDescent="0.25">
      <c r="A351" s="7" t="s">
        <v>41</v>
      </c>
    </row>
    <row r="352" spans="1:1" x14ac:dyDescent="0.25">
      <c r="A352" s="6" t="s">
        <v>41</v>
      </c>
    </row>
    <row r="353" spans="1:1" x14ac:dyDescent="0.25">
      <c r="A353" s="7" t="s">
        <v>41</v>
      </c>
    </row>
    <row r="354" spans="1:1" x14ac:dyDescent="0.25">
      <c r="A354" s="6" t="s">
        <v>41</v>
      </c>
    </row>
    <row r="355" spans="1:1" x14ac:dyDescent="0.25">
      <c r="A355" s="7" t="s">
        <v>41</v>
      </c>
    </row>
    <row r="356" spans="1:1" x14ac:dyDescent="0.25">
      <c r="A356" s="6" t="s">
        <v>41</v>
      </c>
    </row>
    <row r="357" spans="1:1" x14ac:dyDescent="0.25">
      <c r="A357" s="7" t="s">
        <v>41</v>
      </c>
    </row>
    <row r="358" spans="1:1" x14ac:dyDescent="0.25">
      <c r="A358" s="6" t="s">
        <v>41</v>
      </c>
    </row>
    <row r="359" spans="1:1" x14ac:dyDescent="0.25">
      <c r="A359" s="7" t="s">
        <v>41</v>
      </c>
    </row>
    <row r="360" spans="1:1" x14ac:dyDescent="0.25">
      <c r="A360" s="6" t="s">
        <v>41</v>
      </c>
    </row>
    <row r="361" spans="1:1" x14ac:dyDescent="0.25">
      <c r="A361" s="7" t="s">
        <v>41</v>
      </c>
    </row>
    <row r="362" spans="1:1" x14ac:dyDescent="0.25">
      <c r="A362" s="6" t="s">
        <v>41</v>
      </c>
    </row>
    <row r="363" spans="1:1" x14ac:dyDescent="0.25">
      <c r="A363" s="7" t="s">
        <v>41</v>
      </c>
    </row>
    <row r="364" spans="1:1" x14ac:dyDescent="0.25">
      <c r="A364" s="6" t="s">
        <v>41</v>
      </c>
    </row>
    <row r="365" spans="1:1" x14ac:dyDescent="0.25">
      <c r="A365" s="7" t="s">
        <v>41</v>
      </c>
    </row>
    <row r="366" spans="1:1" x14ac:dyDescent="0.25">
      <c r="A366" s="6" t="s">
        <v>41</v>
      </c>
    </row>
    <row r="367" spans="1:1" x14ac:dyDescent="0.25">
      <c r="A367" s="7" t="s">
        <v>41</v>
      </c>
    </row>
    <row r="368" spans="1:1" x14ac:dyDescent="0.25">
      <c r="A368" s="6" t="s">
        <v>41</v>
      </c>
    </row>
    <row r="369" spans="1:1" x14ac:dyDescent="0.25">
      <c r="A369" s="7" t="s">
        <v>41</v>
      </c>
    </row>
    <row r="370" spans="1:1" x14ac:dyDescent="0.25">
      <c r="A370" s="6" t="s">
        <v>41</v>
      </c>
    </row>
    <row r="371" spans="1:1" x14ac:dyDescent="0.25">
      <c r="A371" s="7" t="s">
        <v>41</v>
      </c>
    </row>
    <row r="372" spans="1:1" x14ac:dyDescent="0.25">
      <c r="A372" s="6" t="s">
        <v>41</v>
      </c>
    </row>
    <row r="373" spans="1:1" x14ac:dyDescent="0.25">
      <c r="A373" s="7" t="s">
        <v>41</v>
      </c>
    </row>
    <row r="374" spans="1:1" x14ac:dyDescent="0.25">
      <c r="A374" s="6" t="s">
        <v>41</v>
      </c>
    </row>
    <row r="375" spans="1:1" x14ac:dyDescent="0.25">
      <c r="A375" s="7" t="s">
        <v>41</v>
      </c>
    </row>
    <row r="376" spans="1:1" x14ac:dyDescent="0.25">
      <c r="A376" s="6" t="s">
        <v>41</v>
      </c>
    </row>
    <row r="377" spans="1:1" x14ac:dyDescent="0.25">
      <c r="A377" s="7" t="s">
        <v>41</v>
      </c>
    </row>
    <row r="378" spans="1:1" x14ac:dyDescent="0.25">
      <c r="A378" s="6" t="s">
        <v>41</v>
      </c>
    </row>
    <row r="379" spans="1:1" x14ac:dyDescent="0.25">
      <c r="A379" s="7" t="s">
        <v>41</v>
      </c>
    </row>
    <row r="380" spans="1:1" x14ac:dyDescent="0.25">
      <c r="A380" s="6" t="s">
        <v>41</v>
      </c>
    </row>
    <row r="381" spans="1:1" x14ac:dyDescent="0.25">
      <c r="A381" s="7" t="s">
        <v>41</v>
      </c>
    </row>
    <row r="382" spans="1:1" x14ac:dyDescent="0.25">
      <c r="A382" s="6" t="s">
        <v>41</v>
      </c>
    </row>
    <row r="383" spans="1:1" x14ac:dyDescent="0.25">
      <c r="A383" s="7" t="s">
        <v>41</v>
      </c>
    </row>
    <row r="384" spans="1:1" x14ac:dyDescent="0.25">
      <c r="A384" s="6" t="s">
        <v>41</v>
      </c>
    </row>
    <row r="385" spans="1:1" x14ac:dyDescent="0.25">
      <c r="A385" s="7" t="s">
        <v>41</v>
      </c>
    </row>
    <row r="386" spans="1:1" x14ac:dyDescent="0.25">
      <c r="A386" s="6" t="s">
        <v>41</v>
      </c>
    </row>
    <row r="387" spans="1:1" x14ac:dyDescent="0.25">
      <c r="A387" s="7" t="s">
        <v>41</v>
      </c>
    </row>
    <row r="388" spans="1:1" x14ac:dyDescent="0.25">
      <c r="A388" s="6" t="s">
        <v>41</v>
      </c>
    </row>
    <row r="389" spans="1:1" x14ac:dyDescent="0.25">
      <c r="A389" s="7" t="s">
        <v>41</v>
      </c>
    </row>
    <row r="390" spans="1:1" x14ac:dyDescent="0.25">
      <c r="A390" s="6" t="s">
        <v>41</v>
      </c>
    </row>
    <row r="391" spans="1:1" x14ac:dyDescent="0.25">
      <c r="A391" s="7" t="s">
        <v>41</v>
      </c>
    </row>
    <row r="392" spans="1:1" x14ac:dyDescent="0.25">
      <c r="A392" s="6" t="s">
        <v>41</v>
      </c>
    </row>
    <row r="393" spans="1:1" x14ac:dyDescent="0.25">
      <c r="A393" s="7" t="s">
        <v>41</v>
      </c>
    </row>
    <row r="394" spans="1:1" x14ac:dyDescent="0.25">
      <c r="A394" s="6" t="s">
        <v>41</v>
      </c>
    </row>
    <row r="395" spans="1:1" x14ac:dyDescent="0.25">
      <c r="A395" s="7" t="s">
        <v>41</v>
      </c>
    </row>
    <row r="396" spans="1:1" x14ac:dyDescent="0.25">
      <c r="A396" s="6" t="s">
        <v>41</v>
      </c>
    </row>
    <row r="397" spans="1:1" x14ac:dyDescent="0.25">
      <c r="A397" s="7" t="s">
        <v>41</v>
      </c>
    </row>
    <row r="398" spans="1:1" x14ac:dyDescent="0.25">
      <c r="A398" s="6" t="s">
        <v>41</v>
      </c>
    </row>
    <row r="399" spans="1:1" x14ac:dyDescent="0.25">
      <c r="A399" s="7" t="s">
        <v>41</v>
      </c>
    </row>
    <row r="400" spans="1:1" x14ac:dyDescent="0.25">
      <c r="A400" s="6" t="s">
        <v>41</v>
      </c>
    </row>
    <row r="401" spans="1:1" x14ac:dyDescent="0.25">
      <c r="A401" s="7" t="s">
        <v>41</v>
      </c>
    </row>
    <row r="402" spans="1:1" x14ac:dyDescent="0.25">
      <c r="A402" s="6" t="s">
        <v>41</v>
      </c>
    </row>
    <row r="403" spans="1:1" x14ac:dyDescent="0.25">
      <c r="A403" s="7" t="s">
        <v>41</v>
      </c>
    </row>
    <row r="404" spans="1:1" x14ac:dyDescent="0.25">
      <c r="A404" s="6" t="s">
        <v>41</v>
      </c>
    </row>
    <row r="405" spans="1:1" x14ac:dyDescent="0.25">
      <c r="A405" s="7" t="s">
        <v>41</v>
      </c>
    </row>
    <row r="406" spans="1:1" x14ac:dyDescent="0.25">
      <c r="A406" s="6" t="s">
        <v>41</v>
      </c>
    </row>
    <row r="407" spans="1:1" x14ac:dyDescent="0.25">
      <c r="A407" s="7" t="s">
        <v>41</v>
      </c>
    </row>
    <row r="408" spans="1:1" x14ac:dyDescent="0.25">
      <c r="A408" s="6" t="s">
        <v>41</v>
      </c>
    </row>
    <row r="409" spans="1:1" x14ac:dyDescent="0.25">
      <c r="A409" s="7" t="s">
        <v>41</v>
      </c>
    </row>
    <row r="410" spans="1:1" x14ac:dyDescent="0.25">
      <c r="A410" s="6" t="s">
        <v>41</v>
      </c>
    </row>
    <row r="411" spans="1:1" x14ac:dyDescent="0.25">
      <c r="A411" s="7" t="s">
        <v>41</v>
      </c>
    </row>
    <row r="412" spans="1:1" x14ac:dyDescent="0.25">
      <c r="A412" s="6" t="s">
        <v>41</v>
      </c>
    </row>
    <row r="413" spans="1:1" x14ac:dyDescent="0.25">
      <c r="A413" s="7" t="s">
        <v>41</v>
      </c>
    </row>
    <row r="414" spans="1:1" x14ac:dyDescent="0.25">
      <c r="A414" s="6" t="s">
        <v>41</v>
      </c>
    </row>
    <row r="415" spans="1:1" x14ac:dyDescent="0.25">
      <c r="A415" s="7" t="s">
        <v>41</v>
      </c>
    </row>
    <row r="416" spans="1:1" x14ac:dyDescent="0.25">
      <c r="A416" s="6" t="s">
        <v>41</v>
      </c>
    </row>
    <row r="417" spans="1:1" x14ac:dyDescent="0.25">
      <c r="A417" s="7" t="s">
        <v>41</v>
      </c>
    </row>
    <row r="418" spans="1:1" x14ac:dyDescent="0.25">
      <c r="A418" s="6" t="s">
        <v>41</v>
      </c>
    </row>
    <row r="419" spans="1:1" x14ac:dyDescent="0.25">
      <c r="A419" s="7" t="s">
        <v>41</v>
      </c>
    </row>
    <row r="420" spans="1:1" x14ac:dyDescent="0.25">
      <c r="A420" s="6" t="s">
        <v>41</v>
      </c>
    </row>
    <row r="421" spans="1:1" x14ac:dyDescent="0.25">
      <c r="A421" s="7" t="s">
        <v>41</v>
      </c>
    </row>
    <row r="422" spans="1:1" x14ac:dyDescent="0.25">
      <c r="A422" s="6" t="s">
        <v>41</v>
      </c>
    </row>
    <row r="423" spans="1:1" x14ac:dyDescent="0.25">
      <c r="A423" s="7" t="s">
        <v>41</v>
      </c>
    </row>
    <row r="424" spans="1:1" x14ac:dyDescent="0.25">
      <c r="A424" s="6" t="s">
        <v>41</v>
      </c>
    </row>
    <row r="425" spans="1:1" x14ac:dyDescent="0.25">
      <c r="A425" s="7" t="s">
        <v>41</v>
      </c>
    </row>
    <row r="426" spans="1:1" x14ac:dyDescent="0.25">
      <c r="A426" s="6" t="s">
        <v>41</v>
      </c>
    </row>
    <row r="427" spans="1:1" x14ac:dyDescent="0.25">
      <c r="A427" s="7" t="s">
        <v>41</v>
      </c>
    </row>
    <row r="428" spans="1:1" x14ac:dyDescent="0.25">
      <c r="A428" s="6" t="s">
        <v>41</v>
      </c>
    </row>
    <row r="429" spans="1:1" x14ac:dyDescent="0.25">
      <c r="A429" s="7" t="s">
        <v>41</v>
      </c>
    </row>
    <row r="430" spans="1:1" x14ac:dyDescent="0.25">
      <c r="A430" s="6" t="s">
        <v>41</v>
      </c>
    </row>
    <row r="431" spans="1:1" x14ac:dyDescent="0.25">
      <c r="A431" s="7" t="s">
        <v>41</v>
      </c>
    </row>
    <row r="432" spans="1:1" x14ac:dyDescent="0.25">
      <c r="A432" s="6" t="s">
        <v>41</v>
      </c>
    </row>
    <row r="433" spans="1:1" x14ac:dyDescent="0.25">
      <c r="A433" s="7" t="s">
        <v>41</v>
      </c>
    </row>
    <row r="434" spans="1:1" x14ac:dyDescent="0.25">
      <c r="A434" s="6" t="s">
        <v>41</v>
      </c>
    </row>
    <row r="435" spans="1:1" x14ac:dyDescent="0.25">
      <c r="A435" s="7" t="s">
        <v>41</v>
      </c>
    </row>
    <row r="436" spans="1:1" x14ac:dyDescent="0.25">
      <c r="A436" s="6" t="s">
        <v>41</v>
      </c>
    </row>
    <row r="437" spans="1:1" x14ac:dyDescent="0.25">
      <c r="A437" s="7" t="s">
        <v>41</v>
      </c>
    </row>
    <row r="438" spans="1:1" x14ac:dyDescent="0.25">
      <c r="A438" s="6" t="s">
        <v>41</v>
      </c>
    </row>
    <row r="439" spans="1:1" x14ac:dyDescent="0.25">
      <c r="A439" s="7" t="s">
        <v>41</v>
      </c>
    </row>
    <row r="440" spans="1:1" x14ac:dyDescent="0.25">
      <c r="A440" s="6" t="s">
        <v>41</v>
      </c>
    </row>
    <row r="441" spans="1:1" x14ac:dyDescent="0.25">
      <c r="A441" s="7" t="s">
        <v>41</v>
      </c>
    </row>
    <row r="442" spans="1:1" x14ac:dyDescent="0.25">
      <c r="A442" s="6" t="s">
        <v>41</v>
      </c>
    </row>
    <row r="443" spans="1:1" x14ac:dyDescent="0.25">
      <c r="A443" s="7" t="s">
        <v>41</v>
      </c>
    </row>
    <row r="444" spans="1:1" x14ac:dyDescent="0.25">
      <c r="A444" s="6" t="s">
        <v>41</v>
      </c>
    </row>
    <row r="445" spans="1:1" x14ac:dyDescent="0.25">
      <c r="A445" s="7" t="s">
        <v>41</v>
      </c>
    </row>
    <row r="446" spans="1:1" x14ac:dyDescent="0.25">
      <c r="A446" s="6" t="s">
        <v>41</v>
      </c>
    </row>
    <row r="447" spans="1:1" x14ac:dyDescent="0.25">
      <c r="A447" s="7" t="s">
        <v>41</v>
      </c>
    </row>
    <row r="448" spans="1:1" x14ac:dyDescent="0.25">
      <c r="A448" s="6" t="s">
        <v>41</v>
      </c>
    </row>
    <row r="449" spans="1:1" x14ac:dyDescent="0.25">
      <c r="A449" s="7" t="s">
        <v>41</v>
      </c>
    </row>
    <row r="450" spans="1:1" x14ac:dyDescent="0.25">
      <c r="A450" s="6" t="s">
        <v>41</v>
      </c>
    </row>
    <row r="451" spans="1:1" x14ac:dyDescent="0.25">
      <c r="A451" s="7" t="s">
        <v>41</v>
      </c>
    </row>
    <row r="452" spans="1:1" x14ac:dyDescent="0.25">
      <c r="A452" s="6" t="s">
        <v>41</v>
      </c>
    </row>
    <row r="453" spans="1:1" x14ac:dyDescent="0.25">
      <c r="A453" s="7" t="s">
        <v>41</v>
      </c>
    </row>
    <row r="454" spans="1:1" x14ac:dyDescent="0.25">
      <c r="A454" s="6" t="s">
        <v>41</v>
      </c>
    </row>
    <row r="455" spans="1:1" x14ac:dyDescent="0.25">
      <c r="A455" s="7" t="s">
        <v>41</v>
      </c>
    </row>
    <row r="456" spans="1:1" x14ac:dyDescent="0.25">
      <c r="A456" s="6" t="s">
        <v>41</v>
      </c>
    </row>
    <row r="457" spans="1:1" x14ac:dyDescent="0.25">
      <c r="A457" s="7" t="s">
        <v>41</v>
      </c>
    </row>
    <row r="458" spans="1:1" x14ac:dyDescent="0.25">
      <c r="A458" s="6" t="s">
        <v>41</v>
      </c>
    </row>
    <row r="459" spans="1:1" x14ac:dyDescent="0.25">
      <c r="A459" s="7" t="s">
        <v>41</v>
      </c>
    </row>
    <row r="460" spans="1:1" x14ac:dyDescent="0.25">
      <c r="A460" s="6" t="s">
        <v>41</v>
      </c>
    </row>
    <row r="461" spans="1:1" x14ac:dyDescent="0.25">
      <c r="A461" s="7" t="s">
        <v>41</v>
      </c>
    </row>
    <row r="462" spans="1:1" x14ac:dyDescent="0.25">
      <c r="A462" s="6" t="s">
        <v>41</v>
      </c>
    </row>
    <row r="463" spans="1:1" x14ac:dyDescent="0.25">
      <c r="A463" s="7" t="s">
        <v>41</v>
      </c>
    </row>
    <row r="464" spans="1:1" x14ac:dyDescent="0.25">
      <c r="A464" s="6" t="s">
        <v>41</v>
      </c>
    </row>
    <row r="465" spans="1:1" x14ac:dyDescent="0.25">
      <c r="A465" s="7" t="s">
        <v>41</v>
      </c>
    </row>
    <row r="466" spans="1:1" x14ac:dyDescent="0.25">
      <c r="A466" s="6" t="s">
        <v>41</v>
      </c>
    </row>
    <row r="467" spans="1:1" x14ac:dyDescent="0.25">
      <c r="A467" s="7" t="s">
        <v>41</v>
      </c>
    </row>
    <row r="468" spans="1:1" x14ac:dyDescent="0.25">
      <c r="A468" s="6" t="s">
        <v>41</v>
      </c>
    </row>
    <row r="469" spans="1:1" x14ac:dyDescent="0.25">
      <c r="A469" s="7" t="s">
        <v>41</v>
      </c>
    </row>
    <row r="470" spans="1:1" x14ac:dyDescent="0.25">
      <c r="A470" s="6" t="s">
        <v>41</v>
      </c>
    </row>
    <row r="471" spans="1:1" x14ac:dyDescent="0.25">
      <c r="A471" s="7" t="s">
        <v>41</v>
      </c>
    </row>
    <row r="472" spans="1:1" x14ac:dyDescent="0.25">
      <c r="A472" s="6" t="s">
        <v>41</v>
      </c>
    </row>
    <row r="473" spans="1:1" x14ac:dyDescent="0.25">
      <c r="A473" s="7" t="s">
        <v>41</v>
      </c>
    </row>
    <row r="474" spans="1:1" x14ac:dyDescent="0.25">
      <c r="A474" s="6" t="s">
        <v>41</v>
      </c>
    </row>
    <row r="475" spans="1:1" x14ac:dyDescent="0.25">
      <c r="A475" s="7" t="s">
        <v>41</v>
      </c>
    </row>
    <row r="476" spans="1:1" x14ac:dyDescent="0.25">
      <c r="A476" s="6" t="s">
        <v>41</v>
      </c>
    </row>
    <row r="477" spans="1:1" x14ac:dyDescent="0.25">
      <c r="A477" s="7" t="s">
        <v>41</v>
      </c>
    </row>
    <row r="478" spans="1:1" x14ac:dyDescent="0.25">
      <c r="A478" s="6" t="s">
        <v>41</v>
      </c>
    </row>
    <row r="479" spans="1:1" x14ac:dyDescent="0.25">
      <c r="A479" s="7" t="s">
        <v>41</v>
      </c>
    </row>
    <row r="480" spans="1:1" x14ac:dyDescent="0.25">
      <c r="A480" s="6" t="s">
        <v>41</v>
      </c>
    </row>
    <row r="481" spans="1:1" x14ac:dyDescent="0.25">
      <c r="A481" s="7" t="s">
        <v>41</v>
      </c>
    </row>
    <row r="482" spans="1:1" x14ac:dyDescent="0.25">
      <c r="A482" s="6" t="s">
        <v>41</v>
      </c>
    </row>
    <row r="483" spans="1:1" x14ac:dyDescent="0.25">
      <c r="A483" s="7" t="s">
        <v>41</v>
      </c>
    </row>
    <row r="484" spans="1:1" x14ac:dyDescent="0.25">
      <c r="A484" s="6" t="s">
        <v>41</v>
      </c>
    </row>
    <row r="485" spans="1:1" x14ac:dyDescent="0.25">
      <c r="A485" s="7" t="s">
        <v>41</v>
      </c>
    </row>
    <row r="486" spans="1:1" x14ac:dyDescent="0.25">
      <c r="A486" s="6" t="s">
        <v>41</v>
      </c>
    </row>
    <row r="487" spans="1:1" x14ac:dyDescent="0.25">
      <c r="A487" s="7" t="s">
        <v>41</v>
      </c>
    </row>
    <row r="488" spans="1:1" x14ac:dyDescent="0.25">
      <c r="A488" s="6" t="s">
        <v>41</v>
      </c>
    </row>
    <row r="489" spans="1:1" x14ac:dyDescent="0.25">
      <c r="A489" s="7" t="s">
        <v>41</v>
      </c>
    </row>
    <row r="490" spans="1:1" x14ac:dyDescent="0.25">
      <c r="A490" s="6" t="s">
        <v>41</v>
      </c>
    </row>
    <row r="491" spans="1:1" x14ac:dyDescent="0.25">
      <c r="A491" s="7" t="s">
        <v>41</v>
      </c>
    </row>
    <row r="492" spans="1:1" x14ac:dyDescent="0.25">
      <c r="A492" s="6" t="s">
        <v>41</v>
      </c>
    </row>
    <row r="493" spans="1:1" x14ac:dyDescent="0.25">
      <c r="A493" s="7" t="s">
        <v>41</v>
      </c>
    </row>
    <row r="494" spans="1:1" x14ac:dyDescent="0.25">
      <c r="A494" s="6" t="s">
        <v>41</v>
      </c>
    </row>
    <row r="495" spans="1:1" x14ac:dyDescent="0.25">
      <c r="A495" s="7" t="s">
        <v>41</v>
      </c>
    </row>
    <row r="496" spans="1:1" x14ac:dyDescent="0.25">
      <c r="A496" s="6" t="s">
        <v>41</v>
      </c>
    </row>
    <row r="497" spans="1:1" x14ac:dyDescent="0.25">
      <c r="A497" s="7" t="s">
        <v>41</v>
      </c>
    </row>
    <row r="498" spans="1:1" x14ac:dyDescent="0.25">
      <c r="A498" s="6" t="s">
        <v>41</v>
      </c>
    </row>
    <row r="499" spans="1:1" x14ac:dyDescent="0.25">
      <c r="A499" s="7" t="s">
        <v>41</v>
      </c>
    </row>
    <row r="500" spans="1:1" x14ac:dyDescent="0.25">
      <c r="A500" s="6" t="s">
        <v>41</v>
      </c>
    </row>
    <row r="501" spans="1:1" x14ac:dyDescent="0.25">
      <c r="A501" s="7" t="s">
        <v>41</v>
      </c>
    </row>
    <row r="502" spans="1:1" x14ac:dyDescent="0.25">
      <c r="A502" s="6" t="s">
        <v>41</v>
      </c>
    </row>
    <row r="503" spans="1:1" x14ac:dyDescent="0.25">
      <c r="A503" s="7" t="s">
        <v>41</v>
      </c>
    </row>
    <row r="504" spans="1:1" x14ac:dyDescent="0.25">
      <c r="A504" s="6" t="s">
        <v>41</v>
      </c>
    </row>
    <row r="505" spans="1:1" x14ac:dyDescent="0.25">
      <c r="A505" s="7" t="s">
        <v>41</v>
      </c>
    </row>
    <row r="506" spans="1:1" x14ac:dyDescent="0.25">
      <c r="A506" s="6" t="s">
        <v>41</v>
      </c>
    </row>
    <row r="507" spans="1:1" x14ac:dyDescent="0.25">
      <c r="A507" s="7" t="s">
        <v>41</v>
      </c>
    </row>
    <row r="508" spans="1:1" x14ac:dyDescent="0.25">
      <c r="A508" s="6" t="s">
        <v>41</v>
      </c>
    </row>
    <row r="509" spans="1:1" x14ac:dyDescent="0.25">
      <c r="A509" s="7" t="s">
        <v>41</v>
      </c>
    </row>
    <row r="510" spans="1:1" x14ac:dyDescent="0.25">
      <c r="A510" s="6" t="s">
        <v>41</v>
      </c>
    </row>
    <row r="511" spans="1:1" x14ac:dyDescent="0.25">
      <c r="A511" s="7" t="s">
        <v>41</v>
      </c>
    </row>
    <row r="512" spans="1:1" x14ac:dyDescent="0.25">
      <c r="A512" s="6" t="s">
        <v>41</v>
      </c>
    </row>
    <row r="513" spans="1:1" x14ac:dyDescent="0.25">
      <c r="A513" s="7" t="s">
        <v>41</v>
      </c>
    </row>
    <row r="514" spans="1:1" x14ac:dyDescent="0.25">
      <c r="A514" s="6" t="s">
        <v>41</v>
      </c>
    </row>
    <row r="515" spans="1:1" x14ac:dyDescent="0.25">
      <c r="A515" s="7" t="s">
        <v>41</v>
      </c>
    </row>
    <row r="516" spans="1:1" x14ac:dyDescent="0.25">
      <c r="A516" s="6" t="s">
        <v>41</v>
      </c>
    </row>
    <row r="517" spans="1:1" x14ac:dyDescent="0.25">
      <c r="A517" s="7" t="s">
        <v>41</v>
      </c>
    </row>
    <row r="518" spans="1:1" x14ac:dyDescent="0.25">
      <c r="A518" s="6" t="s">
        <v>41</v>
      </c>
    </row>
    <row r="519" spans="1:1" x14ac:dyDescent="0.25">
      <c r="A519" s="7" t="s">
        <v>41</v>
      </c>
    </row>
    <row r="520" spans="1:1" x14ac:dyDescent="0.25">
      <c r="A520" s="6" t="s">
        <v>41</v>
      </c>
    </row>
    <row r="521" spans="1:1" x14ac:dyDescent="0.25">
      <c r="A521" s="7" t="s">
        <v>41</v>
      </c>
    </row>
    <row r="522" spans="1:1" x14ac:dyDescent="0.25">
      <c r="A522" s="6" t="s">
        <v>41</v>
      </c>
    </row>
    <row r="523" spans="1:1" x14ac:dyDescent="0.25">
      <c r="A523" s="7" t="s">
        <v>41</v>
      </c>
    </row>
    <row r="524" spans="1:1" x14ac:dyDescent="0.25">
      <c r="A524" s="6" t="s">
        <v>41</v>
      </c>
    </row>
    <row r="525" spans="1:1" x14ac:dyDescent="0.25">
      <c r="A525" s="7" t="s">
        <v>41</v>
      </c>
    </row>
    <row r="526" spans="1:1" x14ac:dyDescent="0.25">
      <c r="A526" s="6" t="s">
        <v>41</v>
      </c>
    </row>
    <row r="527" spans="1:1" x14ac:dyDescent="0.25">
      <c r="A527" s="7" t="s">
        <v>41</v>
      </c>
    </row>
    <row r="528" spans="1:1" x14ac:dyDescent="0.25">
      <c r="A528" s="6" t="s">
        <v>41</v>
      </c>
    </row>
    <row r="529" spans="1:1" x14ac:dyDescent="0.25">
      <c r="A529" s="7" t="s">
        <v>41</v>
      </c>
    </row>
    <row r="530" spans="1:1" x14ac:dyDescent="0.25">
      <c r="A530" s="6" t="s">
        <v>41</v>
      </c>
    </row>
    <row r="531" spans="1:1" x14ac:dyDescent="0.25">
      <c r="A531" s="7" t="s">
        <v>41</v>
      </c>
    </row>
    <row r="532" spans="1:1" x14ac:dyDescent="0.25">
      <c r="A532" s="6" t="s">
        <v>41</v>
      </c>
    </row>
    <row r="533" spans="1:1" x14ac:dyDescent="0.25">
      <c r="A533" s="7" t="s">
        <v>41</v>
      </c>
    </row>
    <row r="534" spans="1:1" x14ac:dyDescent="0.25">
      <c r="A534" s="6" t="s">
        <v>41</v>
      </c>
    </row>
    <row r="535" spans="1:1" x14ac:dyDescent="0.25">
      <c r="A535" s="7" t="s">
        <v>41</v>
      </c>
    </row>
    <row r="536" spans="1:1" x14ac:dyDescent="0.25">
      <c r="A536" s="6" t="s">
        <v>41</v>
      </c>
    </row>
    <row r="537" spans="1:1" x14ac:dyDescent="0.25">
      <c r="A537" s="7" t="s">
        <v>41</v>
      </c>
    </row>
    <row r="538" spans="1:1" x14ac:dyDescent="0.25">
      <c r="A538" s="6" t="s">
        <v>41</v>
      </c>
    </row>
    <row r="539" spans="1:1" x14ac:dyDescent="0.25">
      <c r="A539" s="7" t="s">
        <v>41</v>
      </c>
    </row>
    <row r="540" spans="1:1" x14ac:dyDescent="0.25">
      <c r="A540" s="6" t="s">
        <v>41</v>
      </c>
    </row>
    <row r="541" spans="1:1" x14ac:dyDescent="0.25">
      <c r="A541" s="7" t="s">
        <v>41</v>
      </c>
    </row>
    <row r="542" spans="1:1" x14ac:dyDescent="0.25">
      <c r="A542" s="6" t="s">
        <v>41</v>
      </c>
    </row>
    <row r="543" spans="1:1" x14ac:dyDescent="0.25">
      <c r="A543" s="7" t="s">
        <v>41</v>
      </c>
    </row>
    <row r="544" spans="1:1" x14ac:dyDescent="0.25">
      <c r="A544" s="6" t="s">
        <v>41</v>
      </c>
    </row>
    <row r="545" spans="1:1" x14ac:dyDescent="0.25">
      <c r="A545" s="7" t="s">
        <v>41</v>
      </c>
    </row>
    <row r="546" spans="1:1" x14ac:dyDescent="0.25">
      <c r="A546" s="6" t="s">
        <v>41</v>
      </c>
    </row>
    <row r="547" spans="1:1" x14ac:dyDescent="0.25">
      <c r="A547" s="7" t="s">
        <v>41</v>
      </c>
    </row>
    <row r="548" spans="1:1" x14ac:dyDescent="0.25">
      <c r="A548" s="6" t="s">
        <v>41</v>
      </c>
    </row>
    <row r="549" spans="1:1" x14ac:dyDescent="0.25">
      <c r="A549" s="7" t="s">
        <v>41</v>
      </c>
    </row>
    <row r="550" spans="1:1" x14ac:dyDescent="0.25">
      <c r="A550" s="6" t="s">
        <v>41</v>
      </c>
    </row>
    <row r="551" spans="1:1" x14ac:dyDescent="0.25">
      <c r="A551" s="7" t="s">
        <v>41</v>
      </c>
    </row>
    <row r="552" spans="1:1" x14ac:dyDescent="0.25">
      <c r="A552" s="6" t="s">
        <v>41</v>
      </c>
    </row>
    <row r="553" spans="1:1" x14ac:dyDescent="0.25">
      <c r="A553" s="7" t="s">
        <v>41</v>
      </c>
    </row>
    <row r="554" spans="1:1" x14ac:dyDescent="0.25">
      <c r="A554" s="6" t="s">
        <v>41</v>
      </c>
    </row>
    <row r="555" spans="1:1" x14ac:dyDescent="0.25">
      <c r="A555" s="7" t="s">
        <v>41</v>
      </c>
    </row>
    <row r="556" spans="1:1" x14ac:dyDescent="0.25">
      <c r="A556" s="6" t="s">
        <v>41</v>
      </c>
    </row>
    <row r="557" spans="1:1" x14ac:dyDescent="0.25">
      <c r="A557" s="7" t="s">
        <v>41</v>
      </c>
    </row>
    <row r="558" spans="1:1" x14ac:dyDescent="0.25">
      <c r="A558" s="6" t="s">
        <v>41</v>
      </c>
    </row>
    <row r="559" spans="1:1" x14ac:dyDescent="0.25">
      <c r="A559" s="7" t="s">
        <v>41</v>
      </c>
    </row>
    <row r="560" spans="1:1" x14ac:dyDescent="0.25">
      <c r="A560" s="6" t="s">
        <v>41</v>
      </c>
    </row>
    <row r="561" spans="1:1" x14ac:dyDescent="0.25">
      <c r="A561" s="7" t="s">
        <v>41</v>
      </c>
    </row>
    <row r="562" spans="1:1" x14ac:dyDescent="0.25">
      <c r="A562" s="6" t="s">
        <v>41</v>
      </c>
    </row>
    <row r="563" spans="1:1" x14ac:dyDescent="0.25">
      <c r="A563" s="7" t="s">
        <v>41</v>
      </c>
    </row>
    <row r="564" spans="1:1" x14ac:dyDescent="0.25">
      <c r="A564" s="6" t="s">
        <v>41</v>
      </c>
    </row>
    <row r="565" spans="1:1" x14ac:dyDescent="0.25">
      <c r="A565" s="7" t="s">
        <v>41</v>
      </c>
    </row>
    <row r="566" spans="1:1" x14ac:dyDescent="0.25">
      <c r="A566" s="6" t="s">
        <v>41</v>
      </c>
    </row>
    <row r="567" spans="1:1" x14ac:dyDescent="0.25">
      <c r="A567" s="7" t="s">
        <v>41</v>
      </c>
    </row>
    <row r="568" spans="1:1" x14ac:dyDescent="0.25">
      <c r="A568" s="6" t="s">
        <v>41</v>
      </c>
    </row>
    <row r="569" spans="1:1" x14ac:dyDescent="0.25">
      <c r="A569" s="7" t="s">
        <v>41</v>
      </c>
    </row>
    <row r="570" spans="1:1" x14ac:dyDescent="0.25">
      <c r="A570" s="6" t="s">
        <v>41</v>
      </c>
    </row>
    <row r="571" spans="1:1" x14ac:dyDescent="0.25">
      <c r="A571" s="7" t="s">
        <v>41</v>
      </c>
    </row>
    <row r="572" spans="1:1" x14ac:dyDescent="0.25">
      <c r="A572" s="6" t="s">
        <v>41</v>
      </c>
    </row>
    <row r="573" spans="1:1" x14ac:dyDescent="0.25">
      <c r="A573" s="7" t="s">
        <v>41</v>
      </c>
    </row>
    <row r="574" spans="1:1" x14ac:dyDescent="0.25">
      <c r="A574" s="6" t="s">
        <v>41</v>
      </c>
    </row>
    <row r="575" spans="1:1" x14ac:dyDescent="0.25">
      <c r="A575" s="7" t="s">
        <v>41</v>
      </c>
    </row>
    <row r="576" spans="1:1" x14ac:dyDescent="0.25">
      <c r="A576" s="6" t="s">
        <v>41</v>
      </c>
    </row>
    <row r="577" spans="1:1" x14ac:dyDescent="0.25">
      <c r="A577" s="7" t="s">
        <v>41</v>
      </c>
    </row>
    <row r="578" spans="1:1" x14ac:dyDescent="0.25">
      <c r="A578" s="6" t="s">
        <v>41</v>
      </c>
    </row>
    <row r="579" spans="1:1" x14ac:dyDescent="0.25">
      <c r="A579" s="7" t="s">
        <v>41</v>
      </c>
    </row>
    <row r="580" spans="1:1" x14ac:dyDescent="0.25">
      <c r="A580" s="6" t="s">
        <v>41</v>
      </c>
    </row>
    <row r="581" spans="1:1" x14ac:dyDescent="0.25">
      <c r="A581" s="7" t="s">
        <v>41</v>
      </c>
    </row>
    <row r="582" spans="1:1" x14ac:dyDescent="0.25">
      <c r="A582" s="6" t="s">
        <v>41</v>
      </c>
    </row>
    <row r="583" spans="1:1" x14ac:dyDescent="0.25">
      <c r="A583" s="7" t="s">
        <v>41</v>
      </c>
    </row>
    <row r="584" spans="1:1" x14ac:dyDescent="0.25">
      <c r="A584" s="6" t="s">
        <v>41</v>
      </c>
    </row>
    <row r="585" spans="1:1" x14ac:dyDescent="0.25">
      <c r="A585" s="7" t="s">
        <v>41</v>
      </c>
    </row>
    <row r="586" spans="1:1" x14ac:dyDescent="0.25">
      <c r="A586" s="6" t="s">
        <v>41</v>
      </c>
    </row>
    <row r="587" spans="1:1" x14ac:dyDescent="0.25">
      <c r="A587" s="7" t="s">
        <v>41</v>
      </c>
    </row>
    <row r="588" spans="1:1" x14ac:dyDescent="0.25">
      <c r="A588" s="6" t="s">
        <v>41</v>
      </c>
    </row>
    <row r="589" spans="1:1" x14ac:dyDescent="0.25">
      <c r="A589" s="7" t="s">
        <v>41</v>
      </c>
    </row>
    <row r="590" spans="1:1" x14ac:dyDescent="0.25">
      <c r="A590" s="6" t="s">
        <v>41</v>
      </c>
    </row>
    <row r="591" spans="1:1" x14ac:dyDescent="0.25">
      <c r="A591" s="7" t="s">
        <v>41</v>
      </c>
    </row>
    <row r="592" spans="1:1" x14ac:dyDescent="0.25">
      <c r="A592" s="6" t="s">
        <v>41</v>
      </c>
    </row>
    <row r="593" spans="1:1" x14ac:dyDescent="0.25">
      <c r="A593" s="7" t="s">
        <v>41</v>
      </c>
    </row>
    <row r="594" spans="1:1" x14ac:dyDescent="0.25">
      <c r="A594" s="6" t="s">
        <v>41</v>
      </c>
    </row>
    <row r="595" spans="1:1" x14ac:dyDescent="0.25">
      <c r="A595" s="7" t="s">
        <v>41</v>
      </c>
    </row>
    <row r="596" spans="1:1" x14ac:dyDescent="0.25">
      <c r="A596" s="6" t="s">
        <v>41</v>
      </c>
    </row>
    <row r="597" spans="1:1" x14ac:dyDescent="0.25">
      <c r="A597" s="7" t="s">
        <v>41</v>
      </c>
    </row>
    <row r="598" spans="1:1" x14ac:dyDescent="0.25">
      <c r="A598" s="6" t="s">
        <v>41</v>
      </c>
    </row>
    <row r="599" spans="1:1" x14ac:dyDescent="0.25">
      <c r="A599" s="7" t="s">
        <v>41</v>
      </c>
    </row>
    <row r="600" spans="1:1" x14ac:dyDescent="0.25">
      <c r="A600" s="6" t="s">
        <v>41</v>
      </c>
    </row>
    <row r="601" spans="1:1" x14ac:dyDescent="0.25">
      <c r="A601" s="7" t="s">
        <v>41</v>
      </c>
    </row>
    <row r="602" spans="1:1" x14ac:dyDescent="0.25">
      <c r="A602" s="6" t="s">
        <v>41</v>
      </c>
    </row>
    <row r="603" spans="1:1" x14ac:dyDescent="0.25">
      <c r="A603" s="7" t="s">
        <v>41</v>
      </c>
    </row>
    <row r="604" spans="1:1" x14ac:dyDescent="0.25">
      <c r="A604" s="6" t="s">
        <v>41</v>
      </c>
    </row>
    <row r="605" spans="1:1" x14ac:dyDescent="0.25">
      <c r="A605" s="7" t="s">
        <v>41</v>
      </c>
    </row>
    <row r="606" spans="1:1" x14ac:dyDescent="0.25">
      <c r="A606" s="6" t="s">
        <v>41</v>
      </c>
    </row>
    <row r="607" spans="1:1" x14ac:dyDescent="0.25">
      <c r="A607" s="7" t="s">
        <v>41</v>
      </c>
    </row>
    <row r="608" spans="1:1" x14ac:dyDescent="0.25">
      <c r="A608" s="6" t="s">
        <v>41</v>
      </c>
    </row>
    <row r="609" spans="1:1" x14ac:dyDescent="0.25">
      <c r="A609" s="7" t="s">
        <v>41</v>
      </c>
    </row>
    <row r="610" spans="1:1" x14ac:dyDescent="0.25">
      <c r="A610" s="6" t="s">
        <v>41</v>
      </c>
    </row>
    <row r="611" spans="1:1" x14ac:dyDescent="0.25">
      <c r="A611" s="7" t="s">
        <v>41</v>
      </c>
    </row>
    <row r="612" spans="1:1" x14ac:dyDescent="0.25">
      <c r="A612" s="6" t="s">
        <v>41</v>
      </c>
    </row>
    <row r="613" spans="1:1" x14ac:dyDescent="0.25">
      <c r="A613" s="7" t="s">
        <v>41</v>
      </c>
    </row>
    <row r="614" spans="1:1" x14ac:dyDescent="0.25">
      <c r="A614" s="6" t="s">
        <v>41</v>
      </c>
    </row>
    <row r="615" spans="1:1" x14ac:dyDescent="0.25">
      <c r="A615" s="7" t="s">
        <v>41</v>
      </c>
    </row>
    <row r="616" spans="1:1" x14ac:dyDescent="0.25">
      <c r="A616" s="6" t="s">
        <v>41</v>
      </c>
    </row>
    <row r="617" spans="1:1" x14ac:dyDescent="0.25">
      <c r="A617" s="7" t="s">
        <v>41</v>
      </c>
    </row>
    <row r="618" spans="1:1" x14ac:dyDescent="0.25">
      <c r="A618" s="6" t="s">
        <v>41</v>
      </c>
    </row>
    <row r="619" spans="1:1" x14ac:dyDescent="0.25">
      <c r="A619" s="7" t="s">
        <v>41</v>
      </c>
    </row>
    <row r="620" spans="1:1" x14ac:dyDescent="0.25">
      <c r="A620" s="6" t="s">
        <v>41</v>
      </c>
    </row>
    <row r="621" spans="1:1" x14ac:dyDescent="0.25">
      <c r="A621" s="7" t="s">
        <v>41</v>
      </c>
    </row>
    <row r="622" spans="1:1" x14ac:dyDescent="0.25">
      <c r="A622" s="6" t="s">
        <v>41</v>
      </c>
    </row>
    <row r="623" spans="1:1" x14ac:dyDescent="0.25">
      <c r="A623" s="7" t="s">
        <v>41</v>
      </c>
    </row>
    <row r="624" spans="1:1" x14ac:dyDescent="0.25">
      <c r="A624" s="6" t="s">
        <v>41</v>
      </c>
    </row>
    <row r="625" spans="1:1" x14ac:dyDescent="0.25">
      <c r="A625" s="7" t="s">
        <v>41</v>
      </c>
    </row>
    <row r="626" spans="1:1" x14ac:dyDescent="0.25">
      <c r="A626" s="6" t="s">
        <v>41</v>
      </c>
    </row>
    <row r="627" spans="1:1" x14ac:dyDescent="0.25">
      <c r="A627" s="7" t="s">
        <v>41</v>
      </c>
    </row>
    <row r="628" spans="1:1" x14ac:dyDescent="0.25">
      <c r="A628" s="6" t="s">
        <v>41</v>
      </c>
    </row>
    <row r="629" spans="1:1" x14ac:dyDescent="0.25">
      <c r="A629" s="7" t="s">
        <v>41</v>
      </c>
    </row>
    <row r="630" spans="1:1" x14ac:dyDescent="0.25">
      <c r="A630" s="6" t="s">
        <v>41</v>
      </c>
    </row>
    <row r="631" spans="1:1" x14ac:dyDescent="0.25">
      <c r="A631" s="7" t="s">
        <v>41</v>
      </c>
    </row>
    <row r="632" spans="1:1" x14ac:dyDescent="0.25">
      <c r="A632" s="6" t="s">
        <v>41</v>
      </c>
    </row>
    <row r="633" spans="1:1" x14ac:dyDescent="0.25">
      <c r="A633" s="7" t="s">
        <v>41</v>
      </c>
    </row>
    <row r="634" spans="1:1" x14ac:dyDescent="0.25">
      <c r="A634" s="6" t="s">
        <v>41</v>
      </c>
    </row>
    <row r="635" spans="1:1" x14ac:dyDescent="0.25">
      <c r="A635" s="7" t="s">
        <v>41</v>
      </c>
    </row>
    <row r="636" spans="1:1" x14ac:dyDescent="0.25">
      <c r="A636" s="6" t="s">
        <v>41</v>
      </c>
    </row>
    <row r="637" spans="1:1" x14ac:dyDescent="0.25">
      <c r="A637" s="7" t="s">
        <v>41</v>
      </c>
    </row>
    <row r="638" spans="1:1" x14ac:dyDescent="0.25">
      <c r="A638" s="6" t="s">
        <v>41</v>
      </c>
    </row>
    <row r="639" spans="1:1" x14ac:dyDescent="0.25">
      <c r="A639" s="7" t="s">
        <v>41</v>
      </c>
    </row>
    <row r="640" spans="1:1" x14ac:dyDescent="0.25">
      <c r="A640" s="6" t="s">
        <v>41</v>
      </c>
    </row>
    <row r="641" spans="1:1" x14ac:dyDescent="0.25">
      <c r="A641" s="7" t="s">
        <v>41</v>
      </c>
    </row>
    <row r="642" spans="1:1" x14ac:dyDescent="0.25">
      <c r="A642" s="6" t="s">
        <v>41</v>
      </c>
    </row>
    <row r="643" spans="1:1" x14ac:dyDescent="0.25">
      <c r="A643" s="7" t="s">
        <v>41</v>
      </c>
    </row>
    <row r="644" spans="1:1" x14ac:dyDescent="0.25">
      <c r="A644" s="6" t="s">
        <v>41</v>
      </c>
    </row>
    <row r="645" spans="1:1" x14ac:dyDescent="0.25">
      <c r="A645" s="7" t="s">
        <v>41</v>
      </c>
    </row>
    <row r="646" spans="1:1" x14ac:dyDescent="0.25">
      <c r="A646" s="6" t="s">
        <v>41</v>
      </c>
    </row>
    <row r="647" spans="1:1" x14ac:dyDescent="0.25">
      <c r="A647" s="7" t="s">
        <v>41</v>
      </c>
    </row>
    <row r="648" spans="1:1" x14ac:dyDescent="0.25">
      <c r="A648" s="6" t="s">
        <v>41</v>
      </c>
    </row>
    <row r="649" spans="1:1" x14ac:dyDescent="0.25">
      <c r="A649" s="7" t="s">
        <v>41</v>
      </c>
    </row>
    <row r="650" spans="1:1" x14ac:dyDescent="0.25">
      <c r="A650" s="6" t="s">
        <v>41</v>
      </c>
    </row>
    <row r="651" spans="1:1" x14ac:dyDescent="0.25">
      <c r="A651" s="7" t="s">
        <v>41</v>
      </c>
    </row>
    <row r="652" spans="1:1" x14ac:dyDescent="0.25">
      <c r="A652" s="6" t="s">
        <v>41</v>
      </c>
    </row>
    <row r="653" spans="1:1" x14ac:dyDescent="0.25">
      <c r="A653" s="7" t="s">
        <v>41</v>
      </c>
    </row>
    <row r="654" spans="1:1" x14ac:dyDescent="0.25">
      <c r="A654" s="6" t="s">
        <v>41</v>
      </c>
    </row>
    <row r="655" spans="1:1" x14ac:dyDescent="0.25">
      <c r="A655" s="7" t="s">
        <v>41</v>
      </c>
    </row>
    <row r="656" spans="1:1" x14ac:dyDescent="0.25">
      <c r="A656" s="6" t="s">
        <v>41</v>
      </c>
    </row>
    <row r="657" spans="1:1" x14ac:dyDescent="0.25">
      <c r="A657" s="7" t="s">
        <v>41</v>
      </c>
    </row>
    <row r="658" spans="1:1" x14ac:dyDescent="0.25">
      <c r="A658" s="6" t="s">
        <v>41</v>
      </c>
    </row>
    <row r="659" spans="1:1" x14ac:dyDescent="0.25">
      <c r="A659" s="7" t="s">
        <v>41</v>
      </c>
    </row>
    <row r="660" spans="1:1" x14ac:dyDescent="0.25">
      <c r="A660" s="6" t="s">
        <v>41</v>
      </c>
    </row>
    <row r="661" spans="1:1" x14ac:dyDescent="0.25">
      <c r="A661" s="7" t="s">
        <v>41</v>
      </c>
    </row>
    <row r="662" spans="1:1" x14ac:dyDescent="0.25">
      <c r="A662" s="6" t="s">
        <v>41</v>
      </c>
    </row>
    <row r="663" spans="1:1" x14ac:dyDescent="0.25">
      <c r="A663" s="7" t="s">
        <v>41</v>
      </c>
    </row>
    <row r="664" spans="1:1" x14ac:dyDescent="0.25">
      <c r="A664" s="6" t="s">
        <v>41</v>
      </c>
    </row>
    <row r="665" spans="1:1" x14ac:dyDescent="0.25">
      <c r="A665" s="7" t="s">
        <v>41</v>
      </c>
    </row>
    <row r="666" spans="1:1" x14ac:dyDescent="0.25">
      <c r="A666" s="6" t="s">
        <v>41</v>
      </c>
    </row>
    <row r="667" spans="1:1" x14ac:dyDescent="0.25">
      <c r="A667" s="7" t="s">
        <v>41</v>
      </c>
    </row>
    <row r="668" spans="1:1" x14ac:dyDescent="0.25">
      <c r="A668" s="6" t="s">
        <v>41</v>
      </c>
    </row>
    <row r="669" spans="1:1" x14ac:dyDescent="0.25">
      <c r="A669" s="7" t="s">
        <v>41</v>
      </c>
    </row>
    <row r="670" spans="1:1" x14ac:dyDescent="0.25">
      <c r="A670" s="6" t="s">
        <v>41</v>
      </c>
    </row>
    <row r="671" spans="1:1" x14ac:dyDescent="0.25">
      <c r="A671" s="7" t="s">
        <v>41</v>
      </c>
    </row>
    <row r="672" spans="1:1" x14ac:dyDescent="0.25">
      <c r="A672" s="6" t="s">
        <v>41</v>
      </c>
    </row>
    <row r="673" spans="1:1" x14ac:dyDescent="0.25">
      <c r="A673" s="7" t="s">
        <v>41</v>
      </c>
    </row>
    <row r="674" spans="1:1" x14ac:dyDescent="0.25">
      <c r="A674" s="6" t="s">
        <v>41</v>
      </c>
    </row>
    <row r="675" spans="1:1" x14ac:dyDescent="0.25">
      <c r="A675" s="7" t="s">
        <v>41</v>
      </c>
    </row>
    <row r="676" spans="1:1" x14ac:dyDescent="0.25">
      <c r="A676" s="6" t="s">
        <v>41</v>
      </c>
    </row>
    <row r="677" spans="1:1" x14ac:dyDescent="0.25">
      <c r="A677" s="7" t="s">
        <v>41</v>
      </c>
    </row>
    <row r="678" spans="1:1" x14ac:dyDescent="0.25">
      <c r="A678" s="6" t="s">
        <v>41</v>
      </c>
    </row>
    <row r="679" spans="1:1" x14ac:dyDescent="0.25">
      <c r="A679" s="7" t="s">
        <v>41</v>
      </c>
    </row>
    <row r="680" spans="1:1" x14ac:dyDescent="0.25">
      <c r="A680" s="6" t="s">
        <v>41</v>
      </c>
    </row>
    <row r="681" spans="1:1" x14ac:dyDescent="0.25">
      <c r="A681" s="7" t="s">
        <v>41</v>
      </c>
    </row>
    <row r="682" spans="1:1" x14ac:dyDescent="0.25">
      <c r="A682" s="6" t="s">
        <v>41</v>
      </c>
    </row>
    <row r="683" spans="1:1" x14ac:dyDescent="0.25">
      <c r="A683" s="7" t="s">
        <v>41</v>
      </c>
    </row>
    <row r="684" spans="1:1" x14ac:dyDescent="0.25">
      <c r="A684" s="6" t="s">
        <v>41</v>
      </c>
    </row>
    <row r="685" spans="1:1" x14ac:dyDescent="0.25">
      <c r="A685" s="7" t="s">
        <v>41</v>
      </c>
    </row>
    <row r="686" spans="1:1" x14ac:dyDescent="0.25">
      <c r="A686" s="6" t="s">
        <v>41</v>
      </c>
    </row>
    <row r="687" spans="1:1" x14ac:dyDescent="0.25">
      <c r="A687" s="7" t="s">
        <v>41</v>
      </c>
    </row>
    <row r="688" spans="1:1" x14ac:dyDescent="0.25">
      <c r="A688" s="6" t="s">
        <v>41</v>
      </c>
    </row>
    <row r="689" spans="1:1" x14ac:dyDescent="0.25">
      <c r="A689" s="7" t="s">
        <v>41</v>
      </c>
    </row>
    <row r="690" spans="1:1" x14ac:dyDescent="0.25">
      <c r="A690" s="6" t="s">
        <v>41</v>
      </c>
    </row>
    <row r="691" spans="1:1" x14ac:dyDescent="0.25">
      <c r="A691" s="7" t="s">
        <v>41</v>
      </c>
    </row>
    <row r="692" spans="1:1" x14ac:dyDescent="0.25">
      <c r="A692" s="6" t="s">
        <v>41</v>
      </c>
    </row>
    <row r="693" spans="1:1" x14ac:dyDescent="0.25">
      <c r="A693" s="7" t="s">
        <v>41</v>
      </c>
    </row>
    <row r="694" spans="1:1" x14ac:dyDescent="0.25">
      <c r="A694" s="6" t="s">
        <v>41</v>
      </c>
    </row>
    <row r="695" spans="1:1" x14ac:dyDescent="0.25">
      <c r="A695" s="7" t="s">
        <v>41</v>
      </c>
    </row>
    <row r="696" spans="1:1" x14ac:dyDescent="0.25">
      <c r="A696" s="6" t="s">
        <v>41</v>
      </c>
    </row>
    <row r="697" spans="1:1" x14ac:dyDescent="0.25">
      <c r="A697" s="7" t="s">
        <v>41</v>
      </c>
    </row>
    <row r="698" spans="1:1" x14ac:dyDescent="0.25">
      <c r="A698" s="6" t="s">
        <v>41</v>
      </c>
    </row>
    <row r="699" spans="1:1" x14ac:dyDescent="0.25">
      <c r="A699" s="7" t="s">
        <v>41</v>
      </c>
    </row>
    <row r="700" spans="1:1" x14ac:dyDescent="0.25">
      <c r="A700" s="6" t="s">
        <v>41</v>
      </c>
    </row>
    <row r="701" spans="1:1" x14ac:dyDescent="0.25">
      <c r="A701" s="7" t="s">
        <v>41</v>
      </c>
    </row>
    <row r="702" spans="1:1" x14ac:dyDescent="0.25">
      <c r="A702" s="6" t="s">
        <v>41</v>
      </c>
    </row>
    <row r="703" spans="1:1" x14ac:dyDescent="0.25">
      <c r="A703" s="7" t="s">
        <v>41</v>
      </c>
    </row>
    <row r="704" spans="1:1" x14ac:dyDescent="0.25">
      <c r="A704" s="6" t="s">
        <v>41</v>
      </c>
    </row>
    <row r="705" spans="1:1" x14ac:dyDescent="0.25">
      <c r="A705" s="7" t="s">
        <v>41</v>
      </c>
    </row>
    <row r="706" spans="1:1" x14ac:dyDescent="0.25">
      <c r="A706" s="6" t="s">
        <v>41</v>
      </c>
    </row>
    <row r="707" spans="1:1" x14ac:dyDescent="0.25">
      <c r="A707" s="7" t="s">
        <v>41</v>
      </c>
    </row>
    <row r="708" spans="1:1" x14ac:dyDescent="0.25">
      <c r="A708" s="6" t="s">
        <v>41</v>
      </c>
    </row>
    <row r="709" spans="1:1" x14ac:dyDescent="0.25">
      <c r="A709" s="7" t="s">
        <v>41</v>
      </c>
    </row>
    <row r="710" spans="1:1" x14ac:dyDescent="0.25">
      <c r="A710" s="6" t="s">
        <v>41</v>
      </c>
    </row>
    <row r="711" spans="1:1" x14ac:dyDescent="0.25">
      <c r="A711" s="7" t="s">
        <v>41</v>
      </c>
    </row>
    <row r="712" spans="1:1" x14ac:dyDescent="0.25">
      <c r="A712" s="6" t="s">
        <v>41</v>
      </c>
    </row>
    <row r="713" spans="1:1" x14ac:dyDescent="0.25">
      <c r="A713" s="7" t="s">
        <v>41</v>
      </c>
    </row>
    <row r="714" spans="1:1" x14ac:dyDescent="0.25">
      <c r="A714" s="6" t="s">
        <v>41</v>
      </c>
    </row>
    <row r="715" spans="1:1" x14ac:dyDescent="0.25">
      <c r="A715" s="7" t="s">
        <v>41</v>
      </c>
    </row>
    <row r="716" spans="1:1" x14ac:dyDescent="0.25">
      <c r="A716" s="6" t="s">
        <v>41</v>
      </c>
    </row>
    <row r="717" spans="1:1" x14ac:dyDescent="0.25">
      <c r="A717" s="7" t="s">
        <v>41</v>
      </c>
    </row>
    <row r="718" spans="1:1" x14ac:dyDescent="0.25">
      <c r="A718" s="6" t="s">
        <v>41</v>
      </c>
    </row>
    <row r="719" spans="1:1" x14ac:dyDescent="0.25">
      <c r="A719" s="7" t="s">
        <v>41</v>
      </c>
    </row>
    <row r="720" spans="1:1" x14ac:dyDescent="0.25">
      <c r="A720" s="6" t="s">
        <v>41</v>
      </c>
    </row>
    <row r="721" spans="1:1" x14ac:dyDescent="0.25">
      <c r="A721" s="7" t="s">
        <v>41</v>
      </c>
    </row>
    <row r="722" spans="1:1" x14ac:dyDescent="0.25">
      <c r="A722" s="6" t="s">
        <v>41</v>
      </c>
    </row>
    <row r="723" spans="1:1" x14ac:dyDescent="0.25">
      <c r="A723" s="7" t="s">
        <v>41</v>
      </c>
    </row>
    <row r="724" spans="1:1" x14ac:dyDescent="0.25">
      <c r="A724" s="6" t="s">
        <v>41</v>
      </c>
    </row>
    <row r="725" spans="1:1" x14ac:dyDescent="0.25">
      <c r="A725" s="7" t="s">
        <v>41</v>
      </c>
    </row>
    <row r="726" spans="1:1" x14ac:dyDescent="0.25">
      <c r="A726" s="6" t="s">
        <v>41</v>
      </c>
    </row>
    <row r="727" spans="1:1" x14ac:dyDescent="0.25">
      <c r="A727" s="7" t="s">
        <v>41</v>
      </c>
    </row>
    <row r="728" spans="1:1" x14ac:dyDescent="0.25">
      <c r="A728" s="6" t="s">
        <v>41</v>
      </c>
    </row>
    <row r="729" spans="1:1" x14ac:dyDescent="0.25">
      <c r="A729" s="7" t="s">
        <v>41</v>
      </c>
    </row>
    <row r="730" spans="1:1" x14ac:dyDescent="0.25">
      <c r="A730" s="6" t="s">
        <v>41</v>
      </c>
    </row>
    <row r="731" spans="1:1" x14ac:dyDescent="0.25">
      <c r="A731" s="7" t="s">
        <v>41</v>
      </c>
    </row>
    <row r="732" spans="1:1" x14ac:dyDescent="0.25">
      <c r="A732" s="6" t="s">
        <v>41</v>
      </c>
    </row>
    <row r="733" spans="1:1" x14ac:dyDescent="0.25">
      <c r="A733" s="7" t="s">
        <v>41</v>
      </c>
    </row>
    <row r="734" spans="1:1" x14ac:dyDescent="0.25">
      <c r="A734" s="6" t="s">
        <v>41</v>
      </c>
    </row>
    <row r="735" spans="1:1" x14ac:dyDescent="0.25">
      <c r="A735" s="7" t="s">
        <v>2959</v>
      </c>
    </row>
    <row r="736" spans="1:1" x14ac:dyDescent="0.25">
      <c r="A736" s="6" t="s">
        <v>41</v>
      </c>
    </row>
    <row r="737" spans="1:1" x14ac:dyDescent="0.25">
      <c r="A737" s="7" t="s">
        <v>41</v>
      </c>
    </row>
    <row r="738" spans="1:1" x14ac:dyDescent="0.25">
      <c r="A738" s="6" t="s">
        <v>41</v>
      </c>
    </row>
    <row r="739" spans="1:1" x14ac:dyDescent="0.25">
      <c r="A739" s="7" t="s">
        <v>41</v>
      </c>
    </row>
    <row r="740" spans="1:1" x14ac:dyDescent="0.25">
      <c r="A740" s="6" t="s">
        <v>41</v>
      </c>
    </row>
    <row r="741" spans="1:1" x14ac:dyDescent="0.25">
      <c r="A741" s="7" t="s">
        <v>41</v>
      </c>
    </row>
    <row r="742" spans="1:1" x14ac:dyDescent="0.25">
      <c r="A742" s="6" t="s">
        <v>41</v>
      </c>
    </row>
    <row r="743" spans="1:1" x14ac:dyDescent="0.25">
      <c r="A743" s="7" t="s">
        <v>41</v>
      </c>
    </row>
    <row r="744" spans="1:1" x14ac:dyDescent="0.25">
      <c r="A744" s="6" t="s">
        <v>41</v>
      </c>
    </row>
    <row r="745" spans="1:1" x14ac:dyDescent="0.25">
      <c r="A745" s="7" t="s">
        <v>41</v>
      </c>
    </row>
    <row r="746" spans="1:1" x14ac:dyDescent="0.25">
      <c r="A746" s="6" t="s">
        <v>41</v>
      </c>
    </row>
    <row r="747" spans="1:1" x14ac:dyDescent="0.25">
      <c r="A747" s="7" t="s">
        <v>41</v>
      </c>
    </row>
    <row r="748" spans="1:1" x14ac:dyDescent="0.25">
      <c r="A748" s="6" t="s">
        <v>41</v>
      </c>
    </row>
    <row r="749" spans="1:1" x14ac:dyDescent="0.25">
      <c r="A749" s="7" t="s">
        <v>41</v>
      </c>
    </row>
    <row r="750" spans="1:1" x14ac:dyDescent="0.25">
      <c r="A750" s="6" t="s">
        <v>41</v>
      </c>
    </row>
    <row r="751" spans="1:1" x14ac:dyDescent="0.25">
      <c r="A751" s="7" t="s">
        <v>41</v>
      </c>
    </row>
    <row r="752" spans="1:1" x14ac:dyDescent="0.25">
      <c r="A752" s="6" t="s">
        <v>41</v>
      </c>
    </row>
    <row r="753" spans="1:1" x14ac:dyDescent="0.25">
      <c r="A753" s="7" t="s">
        <v>41</v>
      </c>
    </row>
    <row r="754" spans="1:1" x14ac:dyDescent="0.25">
      <c r="A754" s="6" t="s">
        <v>41</v>
      </c>
    </row>
    <row r="755" spans="1:1" x14ac:dyDescent="0.25">
      <c r="A755" s="7" t="s">
        <v>41</v>
      </c>
    </row>
    <row r="756" spans="1:1" x14ac:dyDescent="0.25">
      <c r="A756" s="6" t="s">
        <v>41</v>
      </c>
    </row>
    <row r="757" spans="1:1" x14ac:dyDescent="0.25">
      <c r="A757" s="7" t="s">
        <v>41</v>
      </c>
    </row>
    <row r="758" spans="1:1" x14ac:dyDescent="0.25">
      <c r="A758" s="6" t="s">
        <v>41</v>
      </c>
    </row>
    <row r="759" spans="1:1" x14ac:dyDescent="0.25">
      <c r="A759" s="7" t="s">
        <v>41</v>
      </c>
    </row>
    <row r="760" spans="1:1" x14ac:dyDescent="0.25">
      <c r="A760" s="6" t="s">
        <v>41</v>
      </c>
    </row>
    <row r="761" spans="1:1" x14ac:dyDescent="0.25">
      <c r="A761" s="7" t="s">
        <v>41</v>
      </c>
    </row>
    <row r="762" spans="1:1" x14ac:dyDescent="0.25">
      <c r="A762" s="6" t="s">
        <v>41</v>
      </c>
    </row>
    <row r="763" spans="1:1" x14ac:dyDescent="0.25">
      <c r="A763" s="7" t="s">
        <v>41</v>
      </c>
    </row>
    <row r="764" spans="1:1" x14ac:dyDescent="0.25">
      <c r="A764" s="6" t="s">
        <v>41</v>
      </c>
    </row>
    <row r="765" spans="1:1" x14ac:dyDescent="0.25">
      <c r="A765" s="7" t="s">
        <v>41</v>
      </c>
    </row>
    <row r="766" spans="1:1" x14ac:dyDescent="0.25">
      <c r="A766" s="6" t="s">
        <v>41</v>
      </c>
    </row>
    <row r="767" spans="1:1" x14ac:dyDescent="0.25">
      <c r="A767" s="7" t="s">
        <v>41</v>
      </c>
    </row>
    <row r="768" spans="1:1" x14ac:dyDescent="0.25">
      <c r="A768" s="6" t="s">
        <v>41</v>
      </c>
    </row>
    <row r="769" spans="1:1" x14ac:dyDescent="0.25">
      <c r="A769" s="7" t="s">
        <v>41</v>
      </c>
    </row>
    <row r="770" spans="1:1" x14ac:dyDescent="0.25">
      <c r="A770" s="6" t="s">
        <v>41</v>
      </c>
    </row>
    <row r="771" spans="1:1" x14ac:dyDescent="0.25">
      <c r="A771" s="7" t="s">
        <v>41</v>
      </c>
    </row>
    <row r="772" spans="1:1" x14ac:dyDescent="0.25">
      <c r="A772" s="6" t="s">
        <v>41</v>
      </c>
    </row>
    <row r="773" spans="1:1" x14ac:dyDescent="0.25">
      <c r="A773" s="7" t="s">
        <v>41</v>
      </c>
    </row>
    <row r="774" spans="1:1" x14ac:dyDescent="0.25">
      <c r="A774" s="6" t="s">
        <v>41</v>
      </c>
    </row>
    <row r="775" spans="1:1" x14ac:dyDescent="0.25">
      <c r="A775" s="7" t="s">
        <v>41</v>
      </c>
    </row>
    <row r="776" spans="1:1" x14ac:dyDescent="0.25">
      <c r="A776" s="6" t="s">
        <v>41</v>
      </c>
    </row>
    <row r="777" spans="1:1" x14ac:dyDescent="0.25">
      <c r="A777" s="7" t="s">
        <v>41</v>
      </c>
    </row>
    <row r="778" spans="1:1" x14ac:dyDescent="0.25">
      <c r="A778" s="6" t="s">
        <v>41</v>
      </c>
    </row>
    <row r="779" spans="1:1" x14ac:dyDescent="0.25">
      <c r="A779" s="7" t="s">
        <v>41</v>
      </c>
    </row>
    <row r="780" spans="1:1" x14ac:dyDescent="0.25">
      <c r="A780" s="6" t="s">
        <v>41</v>
      </c>
    </row>
    <row r="781" spans="1:1" x14ac:dyDescent="0.25">
      <c r="A781" s="7" t="s">
        <v>41</v>
      </c>
    </row>
    <row r="782" spans="1:1" x14ac:dyDescent="0.25">
      <c r="A782" s="6" t="s">
        <v>41</v>
      </c>
    </row>
    <row r="783" spans="1:1" x14ac:dyDescent="0.25">
      <c r="A783" s="7" t="s">
        <v>41</v>
      </c>
    </row>
    <row r="784" spans="1:1" x14ac:dyDescent="0.25">
      <c r="A784" s="6" t="s">
        <v>41</v>
      </c>
    </row>
    <row r="785" spans="1:1" x14ac:dyDescent="0.25">
      <c r="A785" s="7" t="s">
        <v>41</v>
      </c>
    </row>
    <row r="786" spans="1:1" x14ac:dyDescent="0.25">
      <c r="A786" s="6" t="s">
        <v>41</v>
      </c>
    </row>
    <row r="787" spans="1:1" x14ac:dyDescent="0.25">
      <c r="A787" s="7" t="s">
        <v>41</v>
      </c>
    </row>
    <row r="788" spans="1:1" x14ac:dyDescent="0.25">
      <c r="A788" s="6" t="s">
        <v>41</v>
      </c>
    </row>
    <row r="789" spans="1:1" x14ac:dyDescent="0.25">
      <c r="A789" s="7" t="s">
        <v>41</v>
      </c>
    </row>
    <row r="790" spans="1:1" x14ac:dyDescent="0.25">
      <c r="A790" s="6" t="s">
        <v>41</v>
      </c>
    </row>
    <row r="791" spans="1:1" x14ac:dyDescent="0.25">
      <c r="A791" s="7" t="s">
        <v>41</v>
      </c>
    </row>
    <row r="792" spans="1:1" x14ac:dyDescent="0.25">
      <c r="A792" s="6" t="s">
        <v>41</v>
      </c>
    </row>
    <row r="793" spans="1:1" x14ac:dyDescent="0.25">
      <c r="A793" s="7" t="s">
        <v>41</v>
      </c>
    </row>
    <row r="794" spans="1:1" x14ac:dyDescent="0.25">
      <c r="A794" s="6" t="s">
        <v>41</v>
      </c>
    </row>
    <row r="795" spans="1:1" x14ac:dyDescent="0.25">
      <c r="A795" s="7" t="s">
        <v>41</v>
      </c>
    </row>
    <row r="796" spans="1:1" x14ac:dyDescent="0.25">
      <c r="A796" s="6" t="s">
        <v>41</v>
      </c>
    </row>
    <row r="797" spans="1:1" x14ac:dyDescent="0.25">
      <c r="A797" s="7" t="s">
        <v>41</v>
      </c>
    </row>
    <row r="798" spans="1:1" x14ac:dyDescent="0.25">
      <c r="A798" s="6" t="s">
        <v>41</v>
      </c>
    </row>
    <row r="799" spans="1:1" x14ac:dyDescent="0.25">
      <c r="A799" s="7" t="s">
        <v>41</v>
      </c>
    </row>
    <row r="800" spans="1:1" x14ac:dyDescent="0.25">
      <c r="A800" s="6" t="s">
        <v>41</v>
      </c>
    </row>
    <row r="801" spans="1:1" x14ac:dyDescent="0.25">
      <c r="A801" s="7" t="s">
        <v>41</v>
      </c>
    </row>
    <row r="802" spans="1:1" x14ac:dyDescent="0.25">
      <c r="A802" s="6" t="s">
        <v>41</v>
      </c>
    </row>
    <row r="803" spans="1:1" x14ac:dyDescent="0.25">
      <c r="A803" s="7" t="s">
        <v>41</v>
      </c>
    </row>
    <row r="804" spans="1:1" x14ac:dyDescent="0.25">
      <c r="A804" s="6" t="s">
        <v>41</v>
      </c>
    </row>
    <row r="805" spans="1:1" x14ac:dyDescent="0.25">
      <c r="A805" s="7" t="s">
        <v>41</v>
      </c>
    </row>
    <row r="806" spans="1:1" x14ac:dyDescent="0.25">
      <c r="A806" s="6" t="s">
        <v>41</v>
      </c>
    </row>
    <row r="807" spans="1:1" x14ac:dyDescent="0.25">
      <c r="A807" s="7" t="s">
        <v>41</v>
      </c>
    </row>
    <row r="808" spans="1:1" x14ac:dyDescent="0.25">
      <c r="A808" s="6" t="s">
        <v>41</v>
      </c>
    </row>
    <row r="809" spans="1:1" x14ac:dyDescent="0.25">
      <c r="A809" s="7" t="s">
        <v>41</v>
      </c>
    </row>
    <row r="810" spans="1:1" x14ac:dyDescent="0.25">
      <c r="A810" s="6" t="s">
        <v>41</v>
      </c>
    </row>
    <row r="811" spans="1:1" x14ac:dyDescent="0.25">
      <c r="A811" s="7" t="s">
        <v>41</v>
      </c>
    </row>
    <row r="812" spans="1:1" x14ac:dyDescent="0.25">
      <c r="A812" s="6" t="s">
        <v>41</v>
      </c>
    </row>
    <row r="813" spans="1:1" x14ac:dyDescent="0.25">
      <c r="A813" s="7" t="s">
        <v>41</v>
      </c>
    </row>
    <row r="814" spans="1:1" x14ac:dyDescent="0.25">
      <c r="A814" s="6" t="s">
        <v>41</v>
      </c>
    </row>
    <row r="815" spans="1:1" x14ac:dyDescent="0.25">
      <c r="A815" s="7" t="s">
        <v>41</v>
      </c>
    </row>
    <row r="816" spans="1:1" x14ac:dyDescent="0.25">
      <c r="A816" s="6" t="s">
        <v>41</v>
      </c>
    </row>
    <row r="817" spans="1:1" x14ac:dyDescent="0.25">
      <c r="A817" s="7" t="s">
        <v>41</v>
      </c>
    </row>
    <row r="818" spans="1:1" x14ac:dyDescent="0.25">
      <c r="A818" s="6" t="s">
        <v>41</v>
      </c>
    </row>
    <row r="819" spans="1:1" x14ac:dyDescent="0.25">
      <c r="A819" s="7" t="s">
        <v>41</v>
      </c>
    </row>
    <row r="820" spans="1:1" x14ac:dyDescent="0.25">
      <c r="A820" s="6" t="s">
        <v>41</v>
      </c>
    </row>
    <row r="821" spans="1:1" x14ac:dyDescent="0.25">
      <c r="A821" s="7" t="s">
        <v>41</v>
      </c>
    </row>
    <row r="822" spans="1:1" x14ac:dyDescent="0.25">
      <c r="A822" s="6" t="s">
        <v>41</v>
      </c>
    </row>
    <row r="823" spans="1:1" x14ac:dyDescent="0.25">
      <c r="A823" s="7" t="s">
        <v>41</v>
      </c>
    </row>
    <row r="824" spans="1:1" x14ac:dyDescent="0.25">
      <c r="A824" s="6" t="s">
        <v>41</v>
      </c>
    </row>
    <row r="825" spans="1:1" x14ac:dyDescent="0.25">
      <c r="A825" s="7" t="s">
        <v>41</v>
      </c>
    </row>
    <row r="826" spans="1:1" x14ac:dyDescent="0.25">
      <c r="A826" s="6" t="s">
        <v>41</v>
      </c>
    </row>
    <row r="827" spans="1:1" x14ac:dyDescent="0.25">
      <c r="A827" s="7" t="s">
        <v>41</v>
      </c>
    </row>
    <row r="828" spans="1:1" x14ac:dyDescent="0.25">
      <c r="A828" s="6" t="s">
        <v>41</v>
      </c>
    </row>
    <row r="829" spans="1:1" x14ac:dyDescent="0.25">
      <c r="A829" s="7" t="s">
        <v>41</v>
      </c>
    </row>
    <row r="830" spans="1:1" x14ac:dyDescent="0.25">
      <c r="A830" s="6" t="s">
        <v>41</v>
      </c>
    </row>
    <row r="831" spans="1:1" x14ac:dyDescent="0.25">
      <c r="A831" s="7" t="s">
        <v>41</v>
      </c>
    </row>
    <row r="832" spans="1:1" x14ac:dyDescent="0.25">
      <c r="A832" s="6" t="s">
        <v>41</v>
      </c>
    </row>
    <row r="833" spans="1:1" x14ac:dyDescent="0.25">
      <c r="A833" s="7" t="s">
        <v>41</v>
      </c>
    </row>
    <row r="834" spans="1:1" x14ac:dyDescent="0.25">
      <c r="A834" s="6" t="s">
        <v>41</v>
      </c>
    </row>
    <row r="835" spans="1:1" x14ac:dyDescent="0.25">
      <c r="A835" s="7" t="s">
        <v>41</v>
      </c>
    </row>
    <row r="836" spans="1:1" x14ac:dyDescent="0.25">
      <c r="A836" s="6" t="s">
        <v>41</v>
      </c>
    </row>
    <row r="837" spans="1:1" x14ac:dyDescent="0.25">
      <c r="A837" s="7" t="s">
        <v>41</v>
      </c>
    </row>
    <row r="838" spans="1:1" x14ac:dyDescent="0.25">
      <c r="A838" s="6" t="s">
        <v>41</v>
      </c>
    </row>
    <row r="839" spans="1:1" x14ac:dyDescent="0.25">
      <c r="A839" s="7" t="s">
        <v>41</v>
      </c>
    </row>
    <row r="840" spans="1:1" x14ac:dyDescent="0.25">
      <c r="A840" s="6" t="s">
        <v>41</v>
      </c>
    </row>
    <row r="841" spans="1:1" x14ac:dyDescent="0.25">
      <c r="A841" s="7" t="s">
        <v>41</v>
      </c>
    </row>
    <row r="842" spans="1:1" x14ac:dyDescent="0.25">
      <c r="A842" s="6" t="s">
        <v>41</v>
      </c>
    </row>
    <row r="843" spans="1:1" x14ac:dyDescent="0.25">
      <c r="A843" s="7" t="s">
        <v>41</v>
      </c>
    </row>
    <row r="844" spans="1:1" x14ac:dyDescent="0.25">
      <c r="A844" s="6" t="s">
        <v>41</v>
      </c>
    </row>
    <row r="845" spans="1:1" x14ac:dyDescent="0.25">
      <c r="A845" s="7" t="s">
        <v>41</v>
      </c>
    </row>
    <row r="846" spans="1:1" x14ac:dyDescent="0.25">
      <c r="A846" s="6" t="s">
        <v>41</v>
      </c>
    </row>
    <row r="847" spans="1:1" x14ac:dyDescent="0.25">
      <c r="A847" s="7" t="s">
        <v>41</v>
      </c>
    </row>
    <row r="848" spans="1:1" x14ac:dyDescent="0.25">
      <c r="A848" s="6" t="s">
        <v>41</v>
      </c>
    </row>
    <row r="849" spans="1:1" x14ac:dyDescent="0.25">
      <c r="A849" s="7" t="s">
        <v>41</v>
      </c>
    </row>
    <row r="850" spans="1:1" x14ac:dyDescent="0.25">
      <c r="A850" s="6" t="s">
        <v>41</v>
      </c>
    </row>
    <row r="851" spans="1:1" x14ac:dyDescent="0.25">
      <c r="A851" s="7" t="s">
        <v>41</v>
      </c>
    </row>
    <row r="852" spans="1:1" x14ac:dyDescent="0.25">
      <c r="A852" s="6" t="s">
        <v>41</v>
      </c>
    </row>
    <row r="853" spans="1:1" x14ac:dyDescent="0.25">
      <c r="A853" s="7" t="s">
        <v>41</v>
      </c>
    </row>
    <row r="854" spans="1:1" x14ac:dyDescent="0.25">
      <c r="A854" s="6" t="s">
        <v>41</v>
      </c>
    </row>
    <row r="855" spans="1:1" x14ac:dyDescent="0.25">
      <c r="A855" s="7" t="s">
        <v>41</v>
      </c>
    </row>
    <row r="856" spans="1:1" x14ac:dyDescent="0.25">
      <c r="A856" s="6" t="s">
        <v>41</v>
      </c>
    </row>
    <row r="857" spans="1:1" x14ac:dyDescent="0.25">
      <c r="A857" s="7" t="s">
        <v>41</v>
      </c>
    </row>
    <row r="858" spans="1:1" x14ac:dyDescent="0.25">
      <c r="A858" s="6" t="s">
        <v>41</v>
      </c>
    </row>
    <row r="859" spans="1:1" x14ac:dyDescent="0.25">
      <c r="A859" s="7" t="s">
        <v>41</v>
      </c>
    </row>
    <row r="860" spans="1:1" x14ac:dyDescent="0.25">
      <c r="A860" s="6" t="s">
        <v>41</v>
      </c>
    </row>
    <row r="861" spans="1:1" x14ac:dyDescent="0.25">
      <c r="A861" s="7" t="s">
        <v>41</v>
      </c>
    </row>
    <row r="862" spans="1:1" x14ac:dyDescent="0.25">
      <c r="A862" s="6" t="s">
        <v>41</v>
      </c>
    </row>
    <row r="863" spans="1:1" x14ac:dyDescent="0.25">
      <c r="A863" s="7" t="s">
        <v>41</v>
      </c>
    </row>
    <row r="864" spans="1:1" x14ac:dyDescent="0.25">
      <c r="A864" s="6" t="s">
        <v>41</v>
      </c>
    </row>
    <row r="865" spans="1:1" x14ac:dyDescent="0.25">
      <c r="A865" s="7" t="s">
        <v>41</v>
      </c>
    </row>
    <row r="866" spans="1:1" x14ac:dyDescent="0.25">
      <c r="A866" s="6" t="s">
        <v>41</v>
      </c>
    </row>
    <row r="867" spans="1:1" x14ac:dyDescent="0.25">
      <c r="A867" s="7" t="s">
        <v>41</v>
      </c>
    </row>
    <row r="868" spans="1:1" x14ac:dyDescent="0.25">
      <c r="A868" s="6" t="s">
        <v>41</v>
      </c>
    </row>
    <row r="869" spans="1:1" x14ac:dyDescent="0.25">
      <c r="A869" s="7" t="s">
        <v>41</v>
      </c>
    </row>
    <row r="870" spans="1:1" x14ac:dyDescent="0.25">
      <c r="A870" s="6" t="s">
        <v>41</v>
      </c>
    </row>
    <row r="871" spans="1:1" x14ac:dyDescent="0.25">
      <c r="A871" s="7" t="s">
        <v>41</v>
      </c>
    </row>
    <row r="872" spans="1:1" x14ac:dyDescent="0.25">
      <c r="A872" s="6" t="s">
        <v>41</v>
      </c>
    </row>
    <row r="873" spans="1:1" x14ac:dyDescent="0.25">
      <c r="A873" s="7" t="s">
        <v>41</v>
      </c>
    </row>
    <row r="874" spans="1:1" x14ac:dyDescent="0.25">
      <c r="A874" s="6" t="s">
        <v>41</v>
      </c>
    </row>
    <row r="875" spans="1:1" x14ac:dyDescent="0.25">
      <c r="A875" s="7" t="s">
        <v>41</v>
      </c>
    </row>
    <row r="876" spans="1:1" x14ac:dyDescent="0.25">
      <c r="A876" s="6" t="s">
        <v>41</v>
      </c>
    </row>
    <row r="877" spans="1:1" x14ac:dyDescent="0.25">
      <c r="A877" s="7" t="s">
        <v>41</v>
      </c>
    </row>
    <row r="878" spans="1:1" x14ac:dyDescent="0.25">
      <c r="A878" s="6" t="s">
        <v>41</v>
      </c>
    </row>
    <row r="879" spans="1:1" x14ac:dyDescent="0.25">
      <c r="A879" s="7" t="s">
        <v>41</v>
      </c>
    </row>
    <row r="880" spans="1:1" x14ac:dyDescent="0.25">
      <c r="A880" s="6" t="s">
        <v>41</v>
      </c>
    </row>
    <row r="881" spans="1:1" x14ac:dyDescent="0.25">
      <c r="A881" s="7" t="s">
        <v>41</v>
      </c>
    </row>
    <row r="882" spans="1:1" x14ac:dyDescent="0.25">
      <c r="A882" s="6" t="s">
        <v>41</v>
      </c>
    </row>
    <row r="883" spans="1:1" x14ac:dyDescent="0.25">
      <c r="A883" s="7" t="s">
        <v>41</v>
      </c>
    </row>
    <row r="884" spans="1:1" x14ac:dyDescent="0.25">
      <c r="A884" s="6" t="s">
        <v>41</v>
      </c>
    </row>
    <row r="885" spans="1:1" x14ac:dyDescent="0.25">
      <c r="A885" s="7" t="s">
        <v>41</v>
      </c>
    </row>
    <row r="886" spans="1:1" x14ac:dyDescent="0.25">
      <c r="A886" s="6" t="s">
        <v>41</v>
      </c>
    </row>
    <row r="887" spans="1:1" x14ac:dyDescent="0.25">
      <c r="A887" s="7" t="s">
        <v>41</v>
      </c>
    </row>
    <row r="888" spans="1:1" x14ac:dyDescent="0.25">
      <c r="A888" s="6" t="s">
        <v>41</v>
      </c>
    </row>
    <row r="889" spans="1:1" x14ac:dyDescent="0.25">
      <c r="A889" s="7" t="s">
        <v>41</v>
      </c>
    </row>
    <row r="890" spans="1:1" x14ac:dyDescent="0.25">
      <c r="A890" s="6" t="s">
        <v>41</v>
      </c>
    </row>
    <row r="891" spans="1:1" x14ac:dyDescent="0.25">
      <c r="A891" s="7" t="s">
        <v>41</v>
      </c>
    </row>
    <row r="892" spans="1:1" x14ac:dyDescent="0.25">
      <c r="A892" s="6" t="s">
        <v>41</v>
      </c>
    </row>
    <row r="893" spans="1:1" x14ac:dyDescent="0.25">
      <c r="A893" s="7" t="s">
        <v>41</v>
      </c>
    </row>
    <row r="894" spans="1:1" x14ac:dyDescent="0.25">
      <c r="A894" s="6" t="s">
        <v>41</v>
      </c>
    </row>
    <row r="895" spans="1:1" x14ac:dyDescent="0.25">
      <c r="A895" s="7" t="s">
        <v>41</v>
      </c>
    </row>
    <row r="896" spans="1:1" x14ac:dyDescent="0.25">
      <c r="A896" s="6" t="s">
        <v>41</v>
      </c>
    </row>
    <row r="897" spans="1:1" x14ac:dyDescent="0.25">
      <c r="A897" s="7" t="s">
        <v>41</v>
      </c>
    </row>
    <row r="898" spans="1:1" x14ac:dyDescent="0.25">
      <c r="A898" s="6" t="s">
        <v>41</v>
      </c>
    </row>
    <row r="899" spans="1:1" x14ac:dyDescent="0.25">
      <c r="A899" s="7" t="s">
        <v>41</v>
      </c>
    </row>
    <row r="900" spans="1:1" x14ac:dyDescent="0.25">
      <c r="A900" s="6" t="s">
        <v>41</v>
      </c>
    </row>
    <row r="901" spans="1:1" x14ac:dyDescent="0.25">
      <c r="A901" s="7" t="s">
        <v>41</v>
      </c>
    </row>
    <row r="902" spans="1:1" x14ac:dyDescent="0.25">
      <c r="A902" s="6" t="s">
        <v>41</v>
      </c>
    </row>
    <row r="903" spans="1:1" x14ac:dyDescent="0.25">
      <c r="A903" s="7" t="s">
        <v>41</v>
      </c>
    </row>
    <row r="904" spans="1:1" x14ac:dyDescent="0.25">
      <c r="A904" s="6" t="s">
        <v>41</v>
      </c>
    </row>
    <row r="905" spans="1:1" x14ac:dyDescent="0.25">
      <c r="A905" s="7" t="s">
        <v>41</v>
      </c>
    </row>
    <row r="906" spans="1:1" x14ac:dyDescent="0.25">
      <c r="A906" s="6" t="s">
        <v>41</v>
      </c>
    </row>
    <row r="907" spans="1:1" x14ac:dyDescent="0.25">
      <c r="A907" s="7" t="s">
        <v>41</v>
      </c>
    </row>
    <row r="908" spans="1:1" x14ac:dyDescent="0.25">
      <c r="A908" s="6" t="s">
        <v>41</v>
      </c>
    </row>
    <row r="909" spans="1:1" x14ac:dyDescent="0.25">
      <c r="A909" s="7" t="s">
        <v>41</v>
      </c>
    </row>
    <row r="910" spans="1:1" x14ac:dyDescent="0.25">
      <c r="A910" s="6" t="s">
        <v>41</v>
      </c>
    </row>
    <row r="911" spans="1:1" x14ac:dyDescent="0.25">
      <c r="A911" s="7" t="s">
        <v>41</v>
      </c>
    </row>
    <row r="912" spans="1:1" x14ac:dyDescent="0.25">
      <c r="A912" s="6" t="s">
        <v>41</v>
      </c>
    </row>
    <row r="913" spans="1:1" x14ac:dyDescent="0.25">
      <c r="A913" s="7" t="s">
        <v>41</v>
      </c>
    </row>
    <row r="914" spans="1:1" x14ac:dyDescent="0.25">
      <c r="A914" s="6" t="s">
        <v>41</v>
      </c>
    </row>
    <row r="915" spans="1:1" x14ac:dyDescent="0.25">
      <c r="A915" s="7" t="s">
        <v>41</v>
      </c>
    </row>
    <row r="916" spans="1:1" x14ac:dyDescent="0.25">
      <c r="A916" s="6" t="s">
        <v>41</v>
      </c>
    </row>
    <row r="917" spans="1:1" x14ac:dyDescent="0.25">
      <c r="A917" s="7" t="s">
        <v>41</v>
      </c>
    </row>
    <row r="918" spans="1:1" x14ac:dyDescent="0.25">
      <c r="A918" s="6" t="s">
        <v>41</v>
      </c>
    </row>
    <row r="919" spans="1:1" x14ac:dyDescent="0.25">
      <c r="A919" s="7" t="s">
        <v>41</v>
      </c>
    </row>
    <row r="920" spans="1:1" x14ac:dyDescent="0.25">
      <c r="A920" s="6" t="s">
        <v>41</v>
      </c>
    </row>
    <row r="921" spans="1:1" x14ac:dyDescent="0.25">
      <c r="A921" s="7" t="s">
        <v>41</v>
      </c>
    </row>
    <row r="922" spans="1:1" x14ac:dyDescent="0.25">
      <c r="A922" s="6" t="s">
        <v>41</v>
      </c>
    </row>
    <row r="923" spans="1:1" x14ac:dyDescent="0.25">
      <c r="A923" s="7" t="s">
        <v>41</v>
      </c>
    </row>
    <row r="924" spans="1:1" x14ac:dyDescent="0.25">
      <c r="A924" s="6" t="s">
        <v>41</v>
      </c>
    </row>
    <row r="925" spans="1:1" x14ac:dyDescent="0.25">
      <c r="A925" s="7" t="s">
        <v>41</v>
      </c>
    </row>
    <row r="926" spans="1:1" x14ac:dyDescent="0.25">
      <c r="A926" s="6" t="s">
        <v>41</v>
      </c>
    </row>
    <row r="927" spans="1:1" x14ac:dyDescent="0.25">
      <c r="A927" s="7" t="s">
        <v>41</v>
      </c>
    </row>
    <row r="928" spans="1:1" x14ac:dyDescent="0.25">
      <c r="A928" s="6" t="s">
        <v>41</v>
      </c>
    </row>
    <row r="929" spans="1:1" x14ac:dyDescent="0.25">
      <c r="A929" s="7" t="s">
        <v>41</v>
      </c>
    </row>
    <row r="930" spans="1:1" x14ac:dyDescent="0.25">
      <c r="A930" s="6" t="s">
        <v>41</v>
      </c>
    </row>
    <row r="931" spans="1:1" x14ac:dyDescent="0.25">
      <c r="A931" s="7" t="s">
        <v>41</v>
      </c>
    </row>
    <row r="932" spans="1:1" x14ac:dyDescent="0.25">
      <c r="A932" s="6" t="s">
        <v>41</v>
      </c>
    </row>
    <row r="933" spans="1:1" x14ac:dyDescent="0.25">
      <c r="A933" s="7" t="s">
        <v>41</v>
      </c>
    </row>
    <row r="934" spans="1:1" x14ac:dyDescent="0.25">
      <c r="A934" s="6" t="s">
        <v>41</v>
      </c>
    </row>
    <row r="935" spans="1:1" x14ac:dyDescent="0.25">
      <c r="A935" s="7" t="s">
        <v>41</v>
      </c>
    </row>
    <row r="936" spans="1:1" x14ac:dyDescent="0.25">
      <c r="A936" s="6" t="s">
        <v>41</v>
      </c>
    </row>
    <row r="937" spans="1:1" x14ac:dyDescent="0.25">
      <c r="A937" s="7" t="s">
        <v>41</v>
      </c>
    </row>
    <row r="938" spans="1:1" x14ac:dyDescent="0.25">
      <c r="A938" s="6" t="s">
        <v>41</v>
      </c>
    </row>
    <row r="939" spans="1:1" x14ac:dyDescent="0.25">
      <c r="A939" s="7" t="s">
        <v>41</v>
      </c>
    </row>
    <row r="940" spans="1:1" x14ac:dyDescent="0.25">
      <c r="A940" s="6" t="s">
        <v>41</v>
      </c>
    </row>
    <row r="941" spans="1:1" x14ac:dyDescent="0.25">
      <c r="A941" s="7" t="s">
        <v>41</v>
      </c>
    </row>
    <row r="942" spans="1:1" x14ac:dyDescent="0.25">
      <c r="A942" s="6" t="s">
        <v>41</v>
      </c>
    </row>
    <row r="943" spans="1:1" x14ac:dyDescent="0.25">
      <c r="A943" s="7" t="s">
        <v>41</v>
      </c>
    </row>
    <row r="944" spans="1:1" x14ac:dyDescent="0.25">
      <c r="A944" s="6" t="s">
        <v>41</v>
      </c>
    </row>
    <row r="945" spans="1:1" x14ac:dyDescent="0.25">
      <c r="A945" s="7" t="s">
        <v>41</v>
      </c>
    </row>
    <row r="946" spans="1:1" x14ac:dyDescent="0.25">
      <c r="A946" s="6" t="s">
        <v>41</v>
      </c>
    </row>
    <row r="947" spans="1:1" x14ac:dyDescent="0.25">
      <c r="A947" s="7" t="s">
        <v>110</v>
      </c>
    </row>
    <row r="948" spans="1:1" x14ac:dyDescent="0.25">
      <c r="A948" s="6" t="s">
        <v>41</v>
      </c>
    </row>
    <row r="949" spans="1:1" x14ac:dyDescent="0.25">
      <c r="A949" s="7" t="s">
        <v>41</v>
      </c>
    </row>
    <row r="950" spans="1:1" x14ac:dyDescent="0.25">
      <c r="A950" s="6" t="s">
        <v>41</v>
      </c>
    </row>
    <row r="951" spans="1:1" x14ac:dyDescent="0.25">
      <c r="A951" s="7" t="s">
        <v>41</v>
      </c>
    </row>
    <row r="952" spans="1:1" x14ac:dyDescent="0.25">
      <c r="A952" s="6" t="s">
        <v>41</v>
      </c>
    </row>
    <row r="953" spans="1:1" x14ac:dyDescent="0.25">
      <c r="A953" s="7" t="s">
        <v>41</v>
      </c>
    </row>
    <row r="954" spans="1:1" x14ac:dyDescent="0.25">
      <c r="A954" s="6" t="s">
        <v>41</v>
      </c>
    </row>
    <row r="955" spans="1:1" x14ac:dyDescent="0.25">
      <c r="A955" s="7" t="s">
        <v>41</v>
      </c>
    </row>
    <row r="956" spans="1:1" x14ac:dyDescent="0.25">
      <c r="A956" s="6" t="s">
        <v>41</v>
      </c>
    </row>
    <row r="957" spans="1:1" x14ac:dyDescent="0.25">
      <c r="A957" s="7" t="s">
        <v>41</v>
      </c>
    </row>
    <row r="958" spans="1:1" x14ac:dyDescent="0.25">
      <c r="A958" s="6" t="s">
        <v>41</v>
      </c>
    </row>
    <row r="959" spans="1:1" x14ac:dyDescent="0.25">
      <c r="A959" s="7" t="s">
        <v>41</v>
      </c>
    </row>
    <row r="960" spans="1:1" x14ac:dyDescent="0.25">
      <c r="A960" s="6" t="s">
        <v>41</v>
      </c>
    </row>
    <row r="961" spans="1:1" x14ac:dyDescent="0.25">
      <c r="A961" s="7" t="s">
        <v>41</v>
      </c>
    </row>
    <row r="962" spans="1:1" x14ac:dyDescent="0.25">
      <c r="A962" s="6" t="s">
        <v>41</v>
      </c>
    </row>
    <row r="963" spans="1:1" x14ac:dyDescent="0.25">
      <c r="A963" s="7" t="s">
        <v>41</v>
      </c>
    </row>
    <row r="964" spans="1:1" x14ac:dyDescent="0.25">
      <c r="A964" s="6" t="s">
        <v>41</v>
      </c>
    </row>
    <row r="965" spans="1:1" x14ac:dyDescent="0.25">
      <c r="A965" s="7" t="s">
        <v>41</v>
      </c>
    </row>
    <row r="966" spans="1:1" x14ac:dyDescent="0.25">
      <c r="A966" s="6" t="s">
        <v>41</v>
      </c>
    </row>
    <row r="967" spans="1:1" x14ac:dyDescent="0.25">
      <c r="A967" s="7" t="s">
        <v>41</v>
      </c>
    </row>
    <row r="968" spans="1:1" x14ac:dyDescent="0.25">
      <c r="A968" s="6" t="s">
        <v>41</v>
      </c>
    </row>
    <row r="969" spans="1:1" x14ac:dyDescent="0.25">
      <c r="A969" s="7" t="s">
        <v>41</v>
      </c>
    </row>
    <row r="970" spans="1:1" x14ac:dyDescent="0.25">
      <c r="A970" s="6" t="s">
        <v>41</v>
      </c>
    </row>
    <row r="971" spans="1:1" x14ac:dyDescent="0.25">
      <c r="A971" s="7" t="s">
        <v>41</v>
      </c>
    </row>
    <row r="972" spans="1:1" x14ac:dyDescent="0.25">
      <c r="A972" s="6" t="s">
        <v>41</v>
      </c>
    </row>
    <row r="973" spans="1:1" x14ac:dyDescent="0.25">
      <c r="A973" s="7" t="s">
        <v>41</v>
      </c>
    </row>
    <row r="974" spans="1:1" x14ac:dyDescent="0.25">
      <c r="A974" s="6" t="s">
        <v>41</v>
      </c>
    </row>
    <row r="975" spans="1:1" x14ac:dyDescent="0.25">
      <c r="A975" s="7" t="s">
        <v>41</v>
      </c>
    </row>
    <row r="976" spans="1:1" x14ac:dyDescent="0.25">
      <c r="A976" s="6" t="s">
        <v>41</v>
      </c>
    </row>
    <row r="977" spans="1:1" x14ac:dyDescent="0.25">
      <c r="A977" s="7" t="s">
        <v>41</v>
      </c>
    </row>
    <row r="978" spans="1:1" x14ac:dyDescent="0.25">
      <c r="A978" s="6" t="s">
        <v>41</v>
      </c>
    </row>
    <row r="979" spans="1:1" x14ac:dyDescent="0.25">
      <c r="A979" s="7" t="s">
        <v>41</v>
      </c>
    </row>
    <row r="980" spans="1:1" x14ac:dyDescent="0.25">
      <c r="A980" s="6" t="s">
        <v>41</v>
      </c>
    </row>
    <row r="981" spans="1:1" x14ac:dyDescent="0.25">
      <c r="A981" s="7" t="s">
        <v>41</v>
      </c>
    </row>
    <row r="982" spans="1:1" x14ac:dyDescent="0.25">
      <c r="A982" s="6" t="s">
        <v>41</v>
      </c>
    </row>
    <row r="983" spans="1:1" x14ac:dyDescent="0.25">
      <c r="A983" s="7" t="s">
        <v>41</v>
      </c>
    </row>
    <row r="984" spans="1:1" x14ac:dyDescent="0.25">
      <c r="A984" s="6" t="s">
        <v>41</v>
      </c>
    </row>
    <row r="985" spans="1:1" x14ac:dyDescent="0.25">
      <c r="A985" s="7" t="s">
        <v>41</v>
      </c>
    </row>
    <row r="986" spans="1:1" x14ac:dyDescent="0.25">
      <c r="A986" s="6" t="s">
        <v>41</v>
      </c>
    </row>
    <row r="987" spans="1:1" x14ac:dyDescent="0.25">
      <c r="A987" s="7" t="s">
        <v>41</v>
      </c>
    </row>
    <row r="988" spans="1:1" x14ac:dyDescent="0.25">
      <c r="A988" s="6" t="s">
        <v>41</v>
      </c>
    </row>
    <row r="989" spans="1:1" x14ac:dyDescent="0.25">
      <c r="A989" s="7" t="s">
        <v>41</v>
      </c>
    </row>
    <row r="990" spans="1:1" x14ac:dyDescent="0.25">
      <c r="A990" s="6" t="s">
        <v>41</v>
      </c>
    </row>
    <row r="991" spans="1:1" x14ac:dyDescent="0.25">
      <c r="A991" s="7" t="s">
        <v>41</v>
      </c>
    </row>
    <row r="992" spans="1:1" x14ac:dyDescent="0.25">
      <c r="A992" s="6" t="s">
        <v>41</v>
      </c>
    </row>
    <row r="993" spans="1:1" x14ac:dyDescent="0.25">
      <c r="A993" s="7" t="s">
        <v>41</v>
      </c>
    </row>
    <row r="994" spans="1:1" x14ac:dyDescent="0.25">
      <c r="A994" s="6" t="s">
        <v>41</v>
      </c>
    </row>
    <row r="995" spans="1:1" x14ac:dyDescent="0.25">
      <c r="A995" s="7" t="s">
        <v>41</v>
      </c>
    </row>
    <row r="996" spans="1:1" x14ac:dyDescent="0.25">
      <c r="A996" s="6" t="s">
        <v>41</v>
      </c>
    </row>
    <row r="997" spans="1:1" x14ac:dyDescent="0.25">
      <c r="A997" s="7" t="s">
        <v>41</v>
      </c>
    </row>
    <row r="998" spans="1:1" x14ac:dyDescent="0.25">
      <c r="A998" s="6" t="s">
        <v>41</v>
      </c>
    </row>
    <row r="999" spans="1:1" x14ac:dyDescent="0.25">
      <c r="A999" s="7" t="s">
        <v>41</v>
      </c>
    </row>
    <row r="1000" spans="1:1" x14ac:dyDescent="0.25">
      <c r="A1000" s="6" t="s">
        <v>41</v>
      </c>
    </row>
    <row r="1001" spans="1:1" x14ac:dyDescent="0.25">
      <c r="A1001" s="7" t="s">
        <v>41</v>
      </c>
    </row>
    <row r="1002" spans="1:1" x14ac:dyDescent="0.25">
      <c r="A1002" s="6" t="s">
        <v>41</v>
      </c>
    </row>
    <row r="1003" spans="1:1" x14ac:dyDescent="0.25">
      <c r="A1003" s="7" t="s">
        <v>41</v>
      </c>
    </row>
    <row r="1004" spans="1:1" x14ac:dyDescent="0.25">
      <c r="A1004" s="6" t="s">
        <v>41</v>
      </c>
    </row>
    <row r="1005" spans="1:1" x14ac:dyDescent="0.25">
      <c r="A1005" s="7" t="s">
        <v>41</v>
      </c>
    </row>
    <row r="1006" spans="1:1" x14ac:dyDescent="0.25">
      <c r="A1006" s="6" t="s">
        <v>41</v>
      </c>
    </row>
    <row r="1007" spans="1:1" x14ac:dyDescent="0.25">
      <c r="A1007" s="7" t="s">
        <v>41</v>
      </c>
    </row>
    <row r="1008" spans="1:1" x14ac:dyDescent="0.25">
      <c r="A1008" s="6" t="s">
        <v>41</v>
      </c>
    </row>
    <row r="1009" spans="1:1" x14ac:dyDescent="0.25">
      <c r="A1009" s="7" t="s">
        <v>41</v>
      </c>
    </row>
    <row r="1010" spans="1:1" x14ac:dyDescent="0.25">
      <c r="A1010" s="6" t="s">
        <v>41</v>
      </c>
    </row>
    <row r="1011" spans="1:1" x14ac:dyDescent="0.25">
      <c r="A1011" s="7" t="s">
        <v>41</v>
      </c>
    </row>
    <row r="1012" spans="1:1" x14ac:dyDescent="0.25">
      <c r="A1012" s="6" t="s">
        <v>41</v>
      </c>
    </row>
    <row r="1013" spans="1:1" x14ac:dyDescent="0.25">
      <c r="A1013" s="7" t="s">
        <v>41</v>
      </c>
    </row>
    <row r="1014" spans="1:1" x14ac:dyDescent="0.25">
      <c r="A1014" s="6" t="s">
        <v>41</v>
      </c>
    </row>
    <row r="1015" spans="1:1" x14ac:dyDescent="0.25">
      <c r="A1015" s="7" t="s">
        <v>41</v>
      </c>
    </row>
    <row r="1016" spans="1:1" x14ac:dyDescent="0.25">
      <c r="A1016" s="6" t="s">
        <v>41</v>
      </c>
    </row>
    <row r="1017" spans="1:1" x14ac:dyDescent="0.25">
      <c r="A1017" s="7" t="s">
        <v>41</v>
      </c>
    </row>
    <row r="1018" spans="1:1" x14ac:dyDescent="0.25">
      <c r="A1018" s="6" t="s">
        <v>41</v>
      </c>
    </row>
    <row r="1019" spans="1:1" x14ac:dyDescent="0.25">
      <c r="A1019" s="7" t="s">
        <v>41</v>
      </c>
    </row>
    <row r="1020" spans="1:1" x14ac:dyDescent="0.25">
      <c r="A1020" s="6" t="s">
        <v>41</v>
      </c>
    </row>
    <row r="1021" spans="1:1" x14ac:dyDescent="0.25">
      <c r="A1021" s="7" t="s">
        <v>41</v>
      </c>
    </row>
    <row r="1022" spans="1:1" x14ac:dyDescent="0.25">
      <c r="A1022" s="6" t="s">
        <v>41</v>
      </c>
    </row>
    <row r="1023" spans="1:1" x14ac:dyDescent="0.25">
      <c r="A1023" s="7" t="s">
        <v>41</v>
      </c>
    </row>
    <row r="1024" spans="1:1" x14ac:dyDescent="0.25">
      <c r="A1024" s="6" t="s">
        <v>41</v>
      </c>
    </row>
    <row r="1025" spans="1:1" x14ac:dyDescent="0.25">
      <c r="A1025" s="7" t="s">
        <v>41</v>
      </c>
    </row>
    <row r="1026" spans="1:1" x14ac:dyDescent="0.25">
      <c r="A1026" s="6" t="s">
        <v>41</v>
      </c>
    </row>
    <row r="1027" spans="1:1" x14ac:dyDescent="0.25">
      <c r="A1027" s="7" t="s">
        <v>41</v>
      </c>
    </row>
    <row r="1028" spans="1:1" x14ac:dyDescent="0.25">
      <c r="A1028" s="6" t="s">
        <v>41</v>
      </c>
    </row>
    <row r="1029" spans="1:1" x14ac:dyDescent="0.25">
      <c r="A1029" s="7" t="s">
        <v>41</v>
      </c>
    </row>
    <row r="1030" spans="1:1" x14ac:dyDescent="0.25">
      <c r="A1030" s="6" t="s">
        <v>41</v>
      </c>
    </row>
    <row r="1031" spans="1:1" x14ac:dyDescent="0.25">
      <c r="A1031" s="7" t="s">
        <v>41</v>
      </c>
    </row>
    <row r="1032" spans="1:1" x14ac:dyDescent="0.25">
      <c r="A1032" s="6" t="s">
        <v>41</v>
      </c>
    </row>
    <row r="1033" spans="1:1" x14ac:dyDescent="0.25">
      <c r="A1033" s="7" t="s">
        <v>41</v>
      </c>
    </row>
    <row r="1034" spans="1:1" x14ac:dyDescent="0.25">
      <c r="A1034" s="6" t="s">
        <v>41</v>
      </c>
    </row>
    <row r="1035" spans="1:1" x14ac:dyDescent="0.25">
      <c r="A1035" s="7" t="s">
        <v>41</v>
      </c>
    </row>
    <row r="1036" spans="1:1" x14ac:dyDescent="0.25">
      <c r="A1036" s="6" t="s">
        <v>41</v>
      </c>
    </row>
    <row r="1037" spans="1:1" x14ac:dyDescent="0.25">
      <c r="A1037" s="7" t="s">
        <v>41</v>
      </c>
    </row>
    <row r="1038" spans="1:1" x14ac:dyDescent="0.25">
      <c r="A1038" s="6" t="s">
        <v>41</v>
      </c>
    </row>
    <row r="1039" spans="1:1" x14ac:dyDescent="0.25">
      <c r="A1039" s="7" t="s">
        <v>41</v>
      </c>
    </row>
    <row r="1040" spans="1:1" x14ac:dyDescent="0.25">
      <c r="A1040" s="6" t="s">
        <v>41</v>
      </c>
    </row>
    <row r="1041" spans="1:1" x14ac:dyDescent="0.25">
      <c r="A1041" s="7" t="s">
        <v>41</v>
      </c>
    </row>
    <row r="1042" spans="1:1" x14ac:dyDescent="0.25">
      <c r="A1042" s="6" t="s">
        <v>41</v>
      </c>
    </row>
    <row r="1043" spans="1:1" x14ac:dyDescent="0.25">
      <c r="A1043" s="7" t="s">
        <v>41</v>
      </c>
    </row>
    <row r="1044" spans="1:1" x14ac:dyDescent="0.25">
      <c r="A1044" s="6" t="s">
        <v>41</v>
      </c>
    </row>
    <row r="1045" spans="1:1" x14ac:dyDescent="0.25">
      <c r="A1045" s="7" t="s">
        <v>41</v>
      </c>
    </row>
    <row r="1046" spans="1:1" x14ac:dyDescent="0.25">
      <c r="A1046" s="6" t="s">
        <v>41</v>
      </c>
    </row>
    <row r="1047" spans="1:1" x14ac:dyDescent="0.25">
      <c r="A1047" s="7" t="s">
        <v>41</v>
      </c>
    </row>
    <row r="1048" spans="1:1" x14ac:dyDescent="0.25">
      <c r="A1048" s="6" t="s">
        <v>41</v>
      </c>
    </row>
    <row r="1049" spans="1:1" x14ac:dyDescent="0.25">
      <c r="A1049" s="7" t="s">
        <v>41</v>
      </c>
    </row>
    <row r="1050" spans="1:1" x14ac:dyDescent="0.25">
      <c r="A1050" s="6" t="s">
        <v>41</v>
      </c>
    </row>
    <row r="1051" spans="1:1" x14ac:dyDescent="0.25">
      <c r="A1051" s="7" t="s">
        <v>41</v>
      </c>
    </row>
    <row r="1052" spans="1:1" x14ac:dyDescent="0.25">
      <c r="A1052" s="6" t="s">
        <v>41</v>
      </c>
    </row>
    <row r="1053" spans="1:1" x14ac:dyDescent="0.25">
      <c r="A1053" s="7" t="s">
        <v>41</v>
      </c>
    </row>
    <row r="1054" spans="1:1" x14ac:dyDescent="0.25">
      <c r="A1054" s="6" t="s">
        <v>41</v>
      </c>
    </row>
    <row r="1055" spans="1:1" x14ac:dyDescent="0.25">
      <c r="A1055" s="7" t="s">
        <v>41</v>
      </c>
    </row>
    <row r="1056" spans="1:1" x14ac:dyDescent="0.25">
      <c r="A1056" s="6" t="s">
        <v>41</v>
      </c>
    </row>
    <row r="1057" spans="1:1" x14ac:dyDescent="0.25">
      <c r="A1057" s="7" t="s">
        <v>41</v>
      </c>
    </row>
    <row r="1058" spans="1:1" x14ac:dyDescent="0.25">
      <c r="A1058" s="6" t="s">
        <v>41</v>
      </c>
    </row>
    <row r="1059" spans="1:1" x14ac:dyDescent="0.25">
      <c r="A1059" s="7" t="s">
        <v>41</v>
      </c>
    </row>
    <row r="1060" spans="1:1" x14ac:dyDescent="0.25">
      <c r="A1060" s="6" t="s">
        <v>41</v>
      </c>
    </row>
    <row r="1061" spans="1:1" x14ac:dyDescent="0.25">
      <c r="A1061" s="7" t="s">
        <v>41</v>
      </c>
    </row>
    <row r="1062" spans="1:1" x14ac:dyDescent="0.25">
      <c r="A1062" s="6" t="s">
        <v>41</v>
      </c>
    </row>
    <row r="1063" spans="1:1" x14ac:dyDescent="0.25">
      <c r="A1063" s="7" t="s">
        <v>41</v>
      </c>
    </row>
    <row r="1064" spans="1:1" x14ac:dyDescent="0.25">
      <c r="A1064" s="6" t="s">
        <v>41</v>
      </c>
    </row>
    <row r="1065" spans="1:1" x14ac:dyDescent="0.25">
      <c r="A1065" s="7" t="s">
        <v>41</v>
      </c>
    </row>
    <row r="1066" spans="1:1" x14ac:dyDescent="0.25">
      <c r="A1066" s="6" t="s">
        <v>41</v>
      </c>
    </row>
    <row r="1067" spans="1:1" x14ac:dyDescent="0.25">
      <c r="A1067" s="7" t="s">
        <v>41</v>
      </c>
    </row>
    <row r="1068" spans="1:1" x14ac:dyDescent="0.25">
      <c r="A1068" s="6" t="s">
        <v>41</v>
      </c>
    </row>
    <row r="1069" spans="1:1" x14ac:dyDescent="0.25">
      <c r="A1069" s="7" t="s">
        <v>41</v>
      </c>
    </row>
    <row r="1070" spans="1:1" x14ac:dyDescent="0.25">
      <c r="A1070" s="6" t="s">
        <v>41</v>
      </c>
    </row>
    <row r="1071" spans="1:1" x14ac:dyDescent="0.25">
      <c r="A1071" s="7" t="s">
        <v>41</v>
      </c>
    </row>
    <row r="1072" spans="1:1" x14ac:dyDescent="0.25">
      <c r="A1072" s="6" t="s">
        <v>41</v>
      </c>
    </row>
    <row r="1073" spans="1:1" x14ac:dyDescent="0.25">
      <c r="A1073" s="7" t="s">
        <v>41</v>
      </c>
    </row>
    <row r="1074" spans="1:1" x14ac:dyDescent="0.25">
      <c r="A1074" s="6" t="s">
        <v>41</v>
      </c>
    </row>
    <row r="1075" spans="1:1" x14ac:dyDescent="0.25">
      <c r="A1075" s="7" t="s">
        <v>41</v>
      </c>
    </row>
    <row r="1076" spans="1:1" x14ac:dyDescent="0.25">
      <c r="A1076" s="6" t="s">
        <v>41</v>
      </c>
    </row>
    <row r="1077" spans="1:1" x14ac:dyDescent="0.25">
      <c r="A1077" s="7" t="s">
        <v>41</v>
      </c>
    </row>
    <row r="1078" spans="1:1" x14ac:dyDescent="0.25">
      <c r="A1078" s="6" t="s">
        <v>41</v>
      </c>
    </row>
    <row r="1079" spans="1:1" x14ac:dyDescent="0.25">
      <c r="A1079" s="7" t="s">
        <v>41</v>
      </c>
    </row>
    <row r="1080" spans="1:1" x14ac:dyDescent="0.25">
      <c r="A1080" s="6" t="s">
        <v>41</v>
      </c>
    </row>
    <row r="1081" spans="1:1" x14ac:dyDescent="0.25">
      <c r="A1081" s="7" t="s">
        <v>41</v>
      </c>
    </row>
    <row r="1082" spans="1:1" x14ac:dyDescent="0.25">
      <c r="A1082" s="6" t="s">
        <v>41</v>
      </c>
    </row>
    <row r="1083" spans="1:1" x14ac:dyDescent="0.25">
      <c r="A1083" s="7" t="s">
        <v>41</v>
      </c>
    </row>
    <row r="1084" spans="1:1" x14ac:dyDescent="0.25">
      <c r="A1084" s="6" t="s">
        <v>41</v>
      </c>
    </row>
    <row r="1085" spans="1:1" x14ac:dyDescent="0.25">
      <c r="A1085" s="7" t="s">
        <v>41</v>
      </c>
    </row>
    <row r="1086" spans="1:1" x14ac:dyDescent="0.25">
      <c r="A1086" s="6" t="s">
        <v>41</v>
      </c>
    </row>
    <row r="1087" spans="1:1" x14ac:dyDescent="0.25">
      <c r="A1087" s="7" t="s">
        <v>41</v>
      </c>
    </row>
    <row r="1088" spans="1:1" x14ac:dyDescent="0.25">
      <c r="A1088" s="6" t="s">
        <v>41</v>
      </c>
    </row>
    <row r="1089" spans="1:1" x14ac:dyDescent="0.25">
      <c r="A1089" s="7" t="s">
        <v>41</v>
      </c>
    </row>
    <row r="1090" spans="1:1" x14ac:dyDescent="0.25">
      <c r="A1090" s="6" t="s">
        <v>41</v>
      </c>
    </row>
    <row r="1091" spans="1:1" x14ac:dyDescent="0.25">
      <c r="A1091" s="7" t="s">
        <v>41</v>
      </c>
    </row>
    <row r="1092" spans="1:1" x14ac:dyDescent="0.25">
      <c r="A1092" s="6" t="s">
        <v>41</v>
      </c>
    </row>
    <row r="1093" spans="1:1" x14ac:dyDescent="0.25">
      <c r="A1093" s="7" t="s">
        <v>41</v>
      </c>
    </row>
    <row r="1094" spans="1:1" x14ac:dyDescent="0.25">
      <c r="A1094" s="6" t="s">
        <v>41</v>
      </c>
    </row>
    <row r="1095" spans="1:1" x14ac:dyDescent="0.25">
      <c r="A1095" s="7" t="s">
        <v>41</v>
      </c>
    </row>
    <row r="1096" spans="1:1" x14ac:dyDescent="0.25">
      <c r="A1096" s="6" t="s">
        <v>41</v>
      </c>
    </row>
    <row r="1097" spans="1:1" x14ac:dyDescent="0.25">
      <c r="A1097" s="7" t="s">
        <v>41</v>
      </c>
    </row>
    <row r="1098" spans="1:1" x14ac:dyDescent="0.25">
      <c r="A1098" s="6" t="s">
        <v>41</v>
      </c>
    </row>
    <row r="1099" spans="1:1" x14ac:dyDescent="0.25">
      <c r="A1099" s="7" t="s">
        <v>41</v>
      </c>
    </row>
    <row r="1100" spans="1:1" x14ac:dyDescent="0.25">
      <c r="A1100" s="6" t="s">
        <v>41</v>
      </c>
    </row>
    <row r="1101" spans="1:1" x14ac:dyDescent="0.25">
      <c r="A1101" s="7" t="s">
        <v>41</v>
      </c>
    </row>
    <row r="1102" spans="1:1" x14ac:dyDescent="0.25">
      <c r="A1102" s="6" t="s">
        <v>41</v>
      </c>
    </row>
    <row r="1103" spans="1:1" x14ac:dyDescent="0.25">
      <c r="A1103" s="7" t="s">
        <v>41</v>
      </c>
    </row>
    <row r="1104" spans="1:1" x14ac:dyDescent="0.25">
      <c r="A1104" s="6" t="s">
        <v>41</v>
      </c>
    </row>
    <row r="1105" spans="1:1" x14ac:dyDescent="0.25">
      <c r="A1105" s="7" t="s">
        <v>41</v>
      </c>
    </row>
    <row r="1106" spans="1:1" x14ac:dyDescent="0.25">
      <c r="A1106" s="6" t="s">
        <v>41</v>
      </c>
    </row>
    <row r="1107" spans="1:1" x14ac:dyDescent="0.25">
      <c r="A1107" s="7" t="s">
        <v>41</v>
      </c>
    </row>
    <row r="1108" spans="1:1" x14ac:dyDescent="0.25">
      <c r="A1108" s="6" t="s">
        <v>41</v>
      </c>
    </row>
    <row r="1109" spans="1:1" x14ac:dyDescent="0.25">
      <c r="A1109" s="7" t="s">
        <v>41</v>
      </c>
    </row>
    <row r="1110" spans="1:1" x14ac:dyDescent="0.25">
      <c r="A1110" s="6" t="s">
        <v>41</v>
      </c>
    </row>
    <row r="1111" spans="1:1" x14ac:dyDescent="0.25">
      <c r="A1111" s="7" t="s">
        <v>41</v>
      </c>
    </row>
    <row r="1112" spans="1:1" x14ac:dyDescent="0.25">
      <c r="A1112" s="6" t="s">
        <v>41</v>
      </c>
    </row>
    <row r="1113" spans="1:1" x14ac:dyDescent="0.25">
      <c r="A1113" s="7" t="s">
        <v>41</v>
      </c>
    </row>
    <row r="1114" spans="1:1" x14ac:dyDescent="0.25">
      <c r="A1114" s="6" t="s">
        <v>41</v>
      </c>
    </row>
    <row r="1115" spans="1:1" x14ac:dyDescent="0.25">
      <c r="A1115" s="7" t="s">
        <v>41</v>
      </c>
    </row>
    <row r="1116" spans="1:1" x14ac:dyDescent="0.25">
      <c r="A1116" s="6" t="s">
        <v>41</v>
      </c>
    </row>
    <row r="1117" spans="1:1" x14ac:dyDescent="0.25">
      <c r="A1117" s="7" t="s">
        <v>41</v>
      </c>
    </row>
    <row r="1118" spans="1:1" x14ac:dyDescent="0.25">
      <c r="A1118" s="6" t="s">
        <v>41</v>
      </c>
    </row>
    <row r="1119" spans="1:1" x14ac:dyDescent="0.25">
      <c r="A1119" s="7" t="s">
        <v>41</v>
      </c>
    </row>
    <row r="1120" spans="1:1" x14ac:dyDescent="0.25">
      <c r="A1120" s="6" t="s">
        <v>41</v>
      </c>
    </row>
    <row r="1121" spans="1:1" x14ac:dyDescent="0.25">
      <c r="A1121" s="7" t="s">
        <v>41</v>
      </c>
    </row>
    <row r="1122" spans="1:1" x14ac:dyDescent="0.25">
      <c r="A1122" s="6" t="s">
        <v>41</v>
      </c>
    </row>
    <row r="1123" spans="1:1" x14ac:dyDescent="0.25">
      <c r="A1123" s="7" t="s">
        <v>41</v>
      </c>
    </row>
    <row r="1124" spans="1:1" x14ac:dyDescent="0.25">
      <c r="A1124" s="6" t="s">
        <v>41</v>
      </c>
    </row>
    <row r="1125" spans="1:1" x14ac:dyDescent="0.25">
      <c r="A1125" s="7" t="s">
        <v>41</v>
      </c>
    </row>
    <row r="1126" spans="1:1" x14ac:dyDescent="0.25">
      <c r="A1126" s="6" t="s">
        <v>41</v>
      </c>
    </row>
    <row r="1127" spans="1:1" x14ac:dyDescent="0.25">
      <c r="A1127" s="7" t="s">
        <v>41</v>
      </c>
    </row>
    <row r="1128" spans="1:1" x14ac:dyDescent="0.25">
      <c r="A1128" s="6" t="s">
        <v>41</v>
      </c>
    </row>
    <row r="1129" spans="1:1" x14ac:dyDescent="0.25">
      <c r="A1129" s="7" t="s">
        <v>41</v>
      </c>
    </row>
    <row r="1130" spans="1:1" x14ac:dyDescent="0.25">
      <c r="A1130" s="6" t="s">
        <v>41</v>
      </c>
    </row>
    <row r="1131" spans="1:1" x14ac:dyDescent="0.25">
      <c r="A1131" s="7" t="s">
        <v>41</v>
      </c>
    </row>
    <row r="1132" spans="1:1" x14ac:dyDescent="0.25">
      <c r="A1132" s="6" t="s">
        <v>41</v>
      </c>
    </row>
    <row r="1133" spans="1:1" x14ac:dyDescent="0.25">
      <c r="A1133" s="7" t="s">
        <v>41</v>
      </c>
    </row>
    <row r="1134" spans="1:1" x14ac:dyDescent="0.25">
      <c r="A1134" s="6" t="s">
        <v>41</v>
      </c>
    </row>
    <row r="1135" spans="1:1" x14ac:dyDescent="0.25">
      <c r="A1135" s="7" t="s">
        <v>41</v>
      </c>
    </row>
    <row r="1136" spans="1:1" x14ac:dyDescent="0.25">
      <c r="A1136" s="6" t="s">
        <v>41</v>
      </c>
    </row>
    <row r="1137" spans="1:1" x14ac:dyDescent="0.25">
      <c r="A1137" s="7" t="s">
        <v>41</v>
      </c>
    </row>
    <row r="1138" spans="1:1" x14ac:dyDescent="0.25">
      <c r="A1138" s="6" t="s">
        <v>41</v>
      </c>
    </row>
    <row r="1139" spans="1:1" x14ac:dyDescent="0.25">
      <c r="A1139" s="7" t="s">
        <v>41</v>
      </c>
    </row>
    <row r="1140" spans="1:1" x14ac:dyDescent="0.25">
      <c r="A1140" s="6" t="s">
        <v>41</v>
      </c>
    </row>
    <row r="1141" spans="1:1" x14ac:dyDescent="0.25">
      <c r="A1141" s="7" t="s">
        <v>41</v>
      </c>
    </row>
    <row r="1142" spans="1:1" x14ac:dyDescent="0.25">
      <c r="A1142" s="6" t="s">
        <v>41</v>
      </c>
    </row>
    <row r="1143" spans="1:1" x14ac:dyDescent="0.25">
      <c r="A1143" s="7" t="s">
        <v>41</v>
      </c>
    </row>
    <row r="1144" spans="1:1" x14ac:dyDescent="0.25">
      <c r="A1144" s="6" t="s">
        <v>41</v>
      </c>
    </row>
    <row r="1145" spans="1:1" x14ac:dyDescent="0.25">
      <c r="A1145" s="7" t="s">
        <v>41</v>
      </c>
    </row>
    <row r="1146" spans="1:1" x14ac:dyDescent="0.25">
      <c r="A1146" s="6" t="s">
        <v>41</v>
      </c>
    </row>
    <row r="1147" spans="1:1" x14ac:dyDescent="0.25">
      <c r="A1147" s="7" t="s">
        <v>41</v>
      </c>
    </row>
    <row r="1148" spans="1:1" x14ac:dyDescent="0.25">
      <c r="A1148" s="6" t="s">
        <v>41</v>
      </c>
    </row>
    <row r="1149" spans="1:1" x14ac:dyDescent="0.25">
      <c r="A1149" s="7" t="s">
        <v>41</v>
      </c>
    </row>
    <row r="1150" spans="1:1" x14ac:dyDescent="0.25">
      <c r="A1150" s="6" t="s">
        <v>41</v>
      </c>
    </row>
    <row r="1151" spans="1:1" x14ac:dyDescent="0.25">
      <c r="A1151" s="7" t="s">
        <v>41</v>
      </c>
    </row>
    <row r="1152" spans="1:1" x14ac:dyDescent="0.25">
      <c r="A1152" s="6" t="s">
        <v>41</v>
      </c>
    </row>
    <row r="1153" spans="1:1" x14ac:dyDescent="0.25">
      <c r="A1153" s="7" t="s">
        <v>41</v>
      </c>
    </row>
    <row r="1154" spans="1:1" x14ac:dyDescent="0.25">
      <c r="A1154" s="6" t="s">
        <v>41</v>
      </c>
    </row>
    <row r="1155" spans="1:1" x14ac:dyDescent="0.25">
      <c r="A1155" s="7" t="s">
        <v>41</v>
      </c>
    </row>
    <row r="1156" spans="1:1" x14ac:dyDescent="0.25">
      <c r="A1156" s="6" t="s">
        <v>41</v>
      </c>
    </row>
    <row r="1157" spans="1:1" x14ac:dyDescent="0.25">
      <c r="A1157" s="7" t="s">
        <v>41</v>
      </c>
    </row>
    <row r="1158" spans="1:1" x14ac:dyDescent="0.25">
      <c r="A1158" s="6" t="s">
        <v>41</v>
      </c>
    </row>
    <row r="1159" spans="1:1" x14ac:dyDescent="0.25">
      <c r="A1159" s="7" t="s">
        <v>41</v>
      </c>
    </row>
    <row r="1160" spans="1:1" x14ac:dyDescent="0.25">
      <c r="A1160" s="6" t="s">
        <v>41</v>
      </c>
    </row>
    <row r="1161" spans="1:1" x14ac:dyDescent="0.25">
      <c r="A1161" s="7" t="s">
        <v>41</v>
      </c>
    </row>
    <row r="1162" spans="1:1" x14ac:dyDescent="0.25">
      <c r="A1162" s="6" t="s">
        <v>41</v>
      </c>
    </row>
    <row r="1163" spans="1:1" x14ac:dyDescent="0.25">
      <c r="A1163" s="7" t="s">
        <v>41</v>
      </c>
    </row>
    <row r="1164" spans="1:1" x14ac:dyDescent="0.25">
      <c r="A1164" s="6" t="s">
        <v>41</v>
      </c>
    </row>
    <row r="1165" spans="1:1" x14ac:dyDescent="0.25">
      <c r="A1165" s="7" t="s">
        <v>41</v>
      </c>
    </row>
    <row r="1166" spans="1:1" x14ac:dyDescent="0.25">
      <c r="A1166" s="6" t="s">
        <v>41</v>
      </c>
    </row>
    <row r="1167" spans="1:1" x14ac:dyDescent="0.25">
      <c r="A1167" s="7" t="s">
        <v>41</v>
      </c>
    </row>
    <row r="1168" spans="1:1" x14ac:dyDescent="0.25">
      <c r="A1168" s="6" t="s">
        <v>41</v>
      </c>
    </row>
    <row r="1169" spans="1:1" x14ac:dyDescent="0.25">
      <c r="A1169" s="7" t="s">
        <v>41</v>
      </c>
    </row>
    <row r="1170" spans="1:1" x14ac:dyDescent="0.25">
      <c r="A1170" s="6" t="s">
        <v>41</v>
      </c>
    </row>
    <row r="1171" spans="1:1" x14ac:dyDescent="0.25">
      <c r="A1171" s="7" t="s">
        <v>41</v>
      </c>
    </row>
    <row r="1172" spans="1:1" x14ac:dyDescent="0.25">
      <c r="A1172" s="6" t="s">
        <v>41</v>
      </c>
    </row>
    <row r="1173" spans="1:1" x14ac:dyDescent="0.25">
      <c r="A1173" s="7" t="s">
        <v>41</v>
      </c>
    </row>
    <row r="1174" spans="1:1" x14ac:dyDescent="0.25">
      <c r="A1174" s="6" t="s">
        <v>41</v>
      </c>
    </row>
    <row r="1175" spans="1:1" x14ac:dyDescent="0.25">
      <c r="A1175" s="7" t="s">
        <v>41</v>
      </c>
    </row>
    <row r="1176" spans="1:1" x14ac:dyDescent="0.25">
      <c r="A1176" s="6" t="s">
        <v>41</v>
      </c>
    </row>
    <row r="1177" spans="1:1" x14ac:dyDescent="0.25">
      <c r="A1177" s="7" t="s">
        <v>41</v>
      </c>
    </row>
    <row r="1178" spans="1:1" x14ac:dyDescent="0.25">
      <c r="A1178" s="6" t="s">
        <v>41</v>
      </c>
    </row>
    <row r="1179" spans="1:1" x14ac:dyDescent="0.25">
      <c r="A1179" s="7" t="s">
        <v>41</v>
      </c>
    </row>
    <row r="1180" spans="1:1" x14ac:dyDescent="0.25">
      <c r="A1180" s="6" t="s">
        <v>41</v>
      </c>
    </row>
    <row r="1181" spans="1:1" x14ac:dyDescent="0.25">
      <c r="A1181" s="7" t="s">
        <v>41</v>
      </c>
    </row>
    <row r="1182" spans="1:1" x14ac:dyDescent="0.25">
      <c r="A1182" s="6" t="s">
        <v>41</v>
      </c>
    </row>
    <row r="1183" spans="1:1" x14ac:dyDescent="0.25">
      <c r="A1183" s="7" t="s">
        <v>41</v>
      </c>
    </row>
    <row r="1184" spans="1:1" x14ac:dyDescent="0.25">
      <c r="A1184" s="6" t="s">
        <v>41</v>
      </c>
    </row>
    <row r="1185" spans="1:1" x14ac:dyDescent="0.25">
      <c r="A1185" s="7" t="s">
        <v>41</v>
      </c>
    </row>
    <row r="1186" spans="1:1" x14ac:dyDescent="0.25">
      <c r="A1186" s="6" t="s">
        <v>41</v>
      </c>
    </row>
    <row r="1187" spans="1:1" x14ac:dyDescent="0.25">
      <c r="A1187" s="7" t="s">
        <v>41</v>
      </c>
    </row>
    <row r="1188" spans="1:1" x14ac:dyDescent="0.25">
      <c r="A1188" s="6" t="s">
        <v>41</v>
      </c>
    </row>
    <row r="1189" spans="1:1" x14ac:dyDescent="0.25">
      <c r="A1189" s="7" t="s">
        <v>41</v>
      </c>
    </row>
    <row r="1190" spans="1:1" x14ac:dyDescent="0.25">
      <c r="A1190" s="6" t="s">
        <v>41</v>
      </c>
    </row>
    <row r="1191" spans="1:1" x14ac:dyDescent="0.25">
      <c r="A1191" s="7" t="s">
        <v>41</v>
      </c>
    </row>
    <row r="1192" spans="1:1" x14ac:dyDescent="0.25">
      <c r="A1192" s="6" t="s">
        <v>41</v>
      </c>
    </row>
    <row r="1193" spans="1:1" x14ac:dyDescent="0.25">
      <c r="A1193" s="7" t="s">
        <v>41</v>
      </c>
    </row>
    <row r="1194" spans="1:1" x14ac:dyDescent="0.25">
      <c r="A1194" s="6" t="s">
        <v>41</v>
      </c>
    </row>
    <row r="1195" spans="1:1" x14ac:dyDescent="0.25">
      <c r="A1195" s="7" t="s">
        <v>41</v>
      </c>
    </row>
    <row r="1196" spans="1:1" x14ac:dyDescent="0.25">
      <c r="A1196" s="6" t="s">
        <v>41</v>
      </c>
    </row>
    <row r="1197" spans="1:1" x14ac:dyDescent="0.25">
      <c r="A1197" s="7" t="s">
        <v>41</v>
      </c>
    </row>
    <row r="1198" spans="1:1" x14ac:dyDescent="0.25">
      <c r="A1198" s="6" t="s">
        <v>41</v>
      </c>
    </row>
    <row r="1199" spans="1:1" x14ac:dyDescent="0.25">
      <c r="A1199" s="7" t="s">
        <v>41</v>
      </c>
    </row>
    <row r="1200" spans="1:1" x14ac:dyDescent="0.25">
      <c r="A1200" s="6" t="s">
        <v>41</v>
      </c>
    </row>
    <row r="1201" spans="1:1" x14ac:dyDescent="0.25">
      <c r="A1201" s="7" t="s">
        <v>41</v>
      </c>
    </row>
    <row r="1202" spans="1:1" x14ac:dyDescent="0.25">
      <c r="A1202" s="6" t="s">
        <v>41</v>
      </c>
    </row>
    <row r="1203" spans="1:1" x14ac:dyDescent="0.25">
      <c r="A1203" s="7" t="s">
        <v>41</v>
      </c>
    </row>
    <row r="1204" spans="1:1" x14ac:dyDescent="0.25">
      <c r="A1204" s="6" t="s">
        <v>41</v>
      </c>
    </row>
    <row r="1205" spans="1:1" x14ac:dyDescent="0.25">
      <c r="A1205" s="7" t="s">
        <v>41</v>
      </c>
    </row>
    <row r="1206" spans="1:1" x14ac:dyDescent="0.25">
      <c r="A1206" s="6" t="s">
        <v>41</v>
      </c>
    </row>
    <row r="1207" spans="1:1" x14ac:dyDescent="0.25">
      <c r="A1207" s="7" t="s">
        <v>41</v>
      </c>
    </row>
    <row r="1208" spans="1:1" x14ac:dyDescent="0.25">
      <c r="A1208" s="6" t="s">
        <v>41</v>
      </c>
    </row>
    <row r="1209" spans="1:1" x14ac:dyDescent="0.25">
      <c r="A1209" s="7" t="s">
        <v>41</v>
      </c>
    </row>
    <row r="1210" spans="1:1" x14ac:dyDescent="0.25">
      <c r="A1210" s="6" t="s">
        <v>41</v>
      </c>
    </row>
    <row r="1211" spans="1:1" x14ac:dyDescent="0.25">
      <c r="A1211" s="7" t="s">
        <v>41</v>
      </c>
    </row>
    <row r="1212" spans="1:1" x14ac:dyDescent="0.25">
      <c r="A1212" s="6" t="s">
        <v>41</v>
      </c>
    </row>
    <row r="1213" spans="1:1" x14ac:dyDescent="0.25">
      <c r="A1213" s="7" t="s">
        <v>41</v>
      </c>
    </row>
    <row r="1214" spans="1:1" x14ac:dyDescent="0.25">
      <c r="A1214" s="6" t="s">
        <v>41</v>
      </c>
    </row>
    <row r="1215" spans="1:1" x14ac:dyDescent="0.25">
      <c r="A1215" s="7" t="s">
        <v>41</v>
      </c>
    </row>
    <row r="1216" spans="1:1" x14ac:dyDescent="0.25">
      <c r="A1216" s="6" t="s">
        <v>41</v>
      </c>
    </row>
    <row r="1217" spans="1:1" x14ac:dyDescent="0.25">
      <c r="A1217" s="7" t="s">
        <v>41</v>
      </c>
    </row>
    <row r="1218" spans="1:1" x14ac:dyDescent="0.25">
      <c r="A1218" s="6" t="s">
        <v>41</v>
      </c>
    </row>
    <row r="1219" spans="1:1" x14ac:dyDescent="0.25">
      <c r="A1219" s="7" t="s">
        <v>41</v>
      </c>
    </row>
    <row r="1220" spans="1:1" x14ac:dyDescent="0.25">
      <c r="A1220" s="6" t="s">
        <v>41</v>
      </c>
    </row>
    <row r="1221" spans="1:1" x14ac:dyDescent="0.25">
      <c r="A1221" s="7" t="s">
        <v>41</v>
      </c>
    </row>
    <row r="1222" spans="1:1" x14ac:dyDescent="0.25">
      <c r="A1222" s="6" t="s">
        <v>41</v>
      </c>
    </row>
    <row r="1223" spans="1:1" x14ac:dyDescent="0.25">
      <c r="A1223" s="7" t="s">
        <v>41</v>
      </c>
    </row>
    <row r="1224" spans="1:1" x14ac:dyDescent="0.25">
      <c r="A1224" s="6" t="s">
        <v>41</v>
      </c>
    </row>
    <row r="1225" spans="1:1" x14ac:dyDescent="0.25">
      <c r="A1225" s="7" t="s">
        <v>41</v>
      </c>
    </row>
    <row r="1226" spans="1:1" x14ac:dyDescent="0.25">
      <c r="A1226" s="6" t="s">
        <v>41</v>
      </c>
    </row>
    <row r="1227" spans="1:1" x14ac:dyDescent="0.25">
      <c r="A1227" s="7" t="s">
        <v>41</v>
      </c>
    </row>
    <row r="1228" spans="1:1" x14ac:dyDescent="0.25">
      <c r="A1228" s="6" t="s">
        <v>41</v>
      </c>
    </row>
    <row r="1229" spans="1:1" x14ac:dyDescent="0.25">
      <c r="A1229" s="7" t="s">
        <v>41</v>
      </c>
    </row>
    <row r="1230" spans="1:1" x14ac:dyDescent="0.25">
      <c r="A1230" s="6" t="s">
        <v>41</v>
      </c>
    </row>
    <row r="1231" spans="1:1" x14ac:dyDescent="0.25">
      <c r="A1231" s="7" t="s">
        <v>41</v>
      </c>
    </row>
    <row r="1232" spans="1:1" x14ac:dyDescent="0.25">
      <c r="A1232" s="6" t="s">
        <v>41</v>
      </c>
    </row>
    <row r="1233" spans="1:1" x14ac:dyDescent="0.25">
      <c r="A1233" s="7" t="s">
        <v>41</v>
      </c>
    </row>
    <row r="1234" spans="1:1" x14ac:dyDescent="0.25">
      <c r="A1234" s="6" t="s">
        <v>41</v>
      </c>
    </row>
    <row r="1235" spans="1:1" x14ac:dyDescent="0.25">
      <c r="A1235" s="7" t="s">
        <v>41</v>
      </c>
    </row>
    <row r="1236" spans="1:1" x14ac:dyDescent="0.25">
      <c r="A1236" s="6" t="s">
        <v>41</v>
      </c>
    </row>
    <row r="1237" spans="1:1" x14ac:dyDescent="0.25">
      <c r="A1237" s="7" t="s">
        <v>41</v>
      </c>
    </row>
    <row r="1238" spans="1:1" x14ac:dyDescent="0.25">
      <c r="A1238" s="6" t="s">
        <v>41</v>
      </c>
    </row>
    <row r="1239" spans="1:1" x14ac:dyDescent="0.25">
      <c r="A1239" s="7" t="s">
        <v>41</v>
      </c>
    </row>
    <row r="1240" spans="1:1" x14ac:dyDescent="0.25">
      <c r="A1240" s="6" t="s">
        <v>41</v>
      </c>
    </row>
    <row r="1241" spans="1:1" x14ac:dyDescent="0.25">
      <c r="A1241" s="7" t="s">
        <v>41</v>
      </c>
    </row>
    <row r="1242" spans="1:1" x14ac:dyDescent="0.25">
      <c r="A1242" s="6" t="s">
        <v>41</v>
      </c>
    </row>
    <row r="1243" spans="1:1" x14ac:dyDescent="0.25">
      <c r="A1243" s="7" t="s">
        <v>41</v>
      </c>
    </row>
    <row r="1244" spans="1:1" x14ac:dyDescent="0.25">
      <c r="A1244" s="6" t="s">
        <v>41</v>
      </c>
    </row>
    <row r="1245" spans="1:1" x14ac:dyDescent="0.25">
      <c r="A1245" s="7" t="s">
        <v>41</v>
      </c>
    </row>
    <row r="1246" spans="1:1" x14ac:dyDescent="0.25">
      <c r="A1246" s="6" t="s">
        <v>41</v>
      </c>
    </row>
    <row r="1247" spans="1:1" x14ac:dyDescent="0.25">
      <c r="A1247" s="7" t="s">
        <v>41</v>
      </c>
    </row>
    <row r="1248" spans="1:1" x14ac:dyDescent="0.25">
      <c r="A1248" s="6" t="s">
        <v>41</v>
      </c>
    </row>
    <row r="1249" spans="1:1" x14ac:dyDescent="0.25">
      <c r="A1249" s="7" t="s">
        <v>41</v>
      </c>
    </row>
    <row r="1250" spans="1:1" x14ac:dyDescent="0.25">
      <c r="A1250" s="6" t="s">
        <v>41</v>
      </c>
    </row>
    <row r="1251" spans="1:1" x14ac:dyDescent="0.25">
      <c r="A1251" s="7" t="s">
        <v>41</v>
      </c>
    </row>
    <row r="1252" spans="1:1" x14ac:dyDescent="0.25">
      <c r="A1252" s="6" t="s">
        <v>41</v>
      </c>
    </row>
    <row r="1253" spans="1:1" x14ac:dyDescent="0.25">
      <c r="A1253" s="7" t="s">
        <v>41</v>
      </c>
    </row>
    <row r="1254" spans="1:1" x14ac:dyDescent="0.25">
      <c r="A1254" s="6" t="s">
        <v>41</v>
      </c>
    </row>
    <row r="1255" spans="1:1" x14ac:dyDescent="0.25">
      <c r="A1255" s="7" t="s">
        <v>41</v>
      </c>
    </row>
    <row r="1256" spans="1:1" x14ac:dyDescent="0.25">
      <c r="A1256" s="6" t="s">
        <v>41</v>
      </c>
    </row>
    <row r="1257" spans="1:1" x14ac:dyDescent="0.25">
      <c r="A1257" s="7" t="s">
        <v>41</v>
      </c>
    </row>
    <row r="1258" spans="1:1" x14ac:dyDescent="0.25">
      <c r="A1258" s="6" t="s">
        <v>41</v>
      </c>
    </row>
    <row r="1259" spans="1:1" x14ac:dyDescent="0.25">
      <c r="A1259" s="7" t="s">
        <v>41</v>
      </c>
    </row>
    <row r="1260" spans="1:1" x14ac:dyDescent="0.25">
      <c r="A1260" s="6" t="s">
        <v>41</v>
      </c>
    </row>
    <row r="1261" spans="1:1" x14ac:dyDescent="0.25">
      <c r="A1261" s="7" t="s">
        <v>41</v>
      </c>
    </row>
    <row r="1262" spans="1:1" x14ac:dyDescent="0.25">
      <c r="A1262" s="6" t="s">
        <v>41</v>
      </c>
    </row>
    <row r="1263" spans="1:1" x14ac:dyDescent="0.25">
      <c r="A1263" s="7" t="s">
        <v>41</v>
      </c>
    </row>
    <row r="1264" spans="1:1" x14ac:dyDescent="0.25">
      <c r="A1264" s="6" t="s">
        <v>41</v>
      </c>
    </row>
    <row r="1265" spans="1:1" x14ac:dyDescent="0.25">
      <c r="A1265" s="7" t="s">
        <v>41</v>
      </c>
    </row>
    <row r="1266" spans="1:1" x14ac:dyDescent="0.25">
      <c r="A1266" s="6" t="s">
        <v>41</v>
      </c>
    </row>
    <row r="1267" spans="1:1" x14ac:dyDescent="0.25">
      <c r="A1267" s="7" t="s">
        <v>41</v>
      </c>
    </row>
    <row r="1268" spans="1:1" x14ac:dyDescent="0.25">
      <c r="A1268" s="6" t="s">
        <v>41</v>
      </c>
    </row>
    <row r="1269" spans="1:1" x14ac:dyDescent="0.25">
      <c r="A1269" s="7" t="s">
        <v>41</v>
      </c>
    </row>
    <row r="1270" spans="1:1" x14ac:dyDescent="0.25">
      <c r="A1270" s="6" t="s">
        <v>41</v>
      </c>
    </row>
    <row r="1271" spans="1:1" x14ac:dyDescent="0.25">
      <c r="A1271" s="7" t="s">
        <v>41</v>
      </c>
    </row>
    <row r="1272" spans="1:1" x14ac:dyDescent="0.25">
      <c r="A1272" s="6" t="s">
        <v>41</v>
      </c>
    </row>
    <row r="1273" spans="1:1" x14ac:dyDescent="0.25">
      <c r="A1273" s="7" t="s">
        <v>41</v>
      </c>
    </row>
    <row r="1274" spans="1:1" x14ac:dyDescent="0.25">
      <c r="A1274" s="6" t="s">
        <v>41</v>
      </c>
    </row>
    <row r="1275" spans="1:1" x14ac:dyDescent="0.25">
      <c r="A1275" s="7" t="s">
        <v>41</v>
      </c>
    </row>
    <row r="1276" spans="1:1" x14ac:dyDescent="0.25">
      <c r="A1276" s="6" t="s">
        <v>41</v>
      </c>
    </row>
    <row r="1277" spans="1:1" x14ac:dyDescent="0.25">
      <c r="A1277" s="7" t="s">
        <v>41</v>
      </c>
    </row>
    <row r="1278" spans="1:1" x14ac:dyDescent="0.25">
      <c r="A1278" s="6" t="s">
        <v>41</v>
      </c>
    </row>
    <row r="1279" spans="1:1" x14ac:dyDescent="0.25">
      <c r="A1279" s="7" t="s">
        <v>41</v>
      </c>
    </row>
    <row r="1280" spans="1:1" x14ac:dyDescent="0.25">
      <c r="A1280" s="6" t="s">
        <v>41</v>
      </c>
    </row>
    <row r="1281" spans="1:1" x14ac:dyDescent="0.25">
      <c r="A1281" s="7" t="s">
        <v>41</v>
      </c>
    </row>
    <row r="1282" spans="1:1" x14ac:dyDescent="0.25">
      <c r="A1282" s="6" t="s">
        <v>41</v>
      </c>
    </row>
    <row r="1283" spans="1:1" x14ac:dyDescent="0.25">
      <c r="A1283" s="7" t="s">
        <v>41</v>
      </c>
    </row>
    <row r="1284" spans="1:1" x14ac:dyDescent="0.25">
      <c r="A1284" s="6" t="s">
        <v>41</v>
      </c>
    </row>
    <row r="1285" spans="1:1" x14ac:dyDescent="0.25">
      <c r="A1285" s="7" t="s">
        <v>41</v>
      </c>
    </row>
    <row r="1286" spans="1:1" x14ac:dyDescent="0.25">
      <c r="A1286" s="6" t="s">
        <v>41</v>
      </c>
    </row>
    <row r="1287" spans="1:1" x14ac:dyDescent="0.25">
      <c r="A1287" s="7" t="s">
        <v>41</v>
      </c>
    </row>
    <row r="1288" spans="1:1" x14ac:dyDescent="0.25">
      <c r="A1288" s="6" t="s">
        <v>41</v>
      </c>
    </row>
    <row r="1289" spans="1:1" x14ac:dyDescent="0.25">
      <c r="A1289" s="7" t="s">
        <v>41</v>
      </c>
    </row>
    <row r="1290" spans="1:1" x14ac:dyDescent="0.25">
      <c r="A1290" s="6" t="s">
        <v>41</v>
      </c>
    </row>
    <row r="1291" spans="1:1" x14ac:dyDescent="0.25">
      <c r="A1291" s="7" t="s">
        <v>41</v>
      </c>
    </row>
    <row r="1292" spans="1:1" x14ac:dyDescent="0.25">
      <c r="A1292" s="6" t="s">
        <v>41</v>
      </c>
    </row>
    <row r="1293" spans="1:1" x14ac:dyDescent="0.25">
      <c r="A1293" s="7" t="s">
        <v>41</v>
      </c>
    </row>
    <row r="1294" spans="1:1" x14ac:dyDescent="0.25">
      <c r="A1294" s="6" t="s">
        <v>41</v>
      </c>
    </row>
    <row r="1295" spans="1:1" x14ac:dyDescent="0.25">
      <c r="A1295" s="7" t="s">
        <v>41</v>
      </c>
    </row>
    <row r="1296" spans="1:1" x14ac:dyDescent="0.25">
      <c r="A1296" s="6" t="s">
        <v>41</v>
      </c>
    </row>
    <row r="1297" spans="1:1" x14ac:dyDescent="0.25">
      <c r="A1297" s="7" t="s">
        <v>41</v>
      </c>
    </row>
    <row r="1298" spans="1:1" x14ac:dyDescent="0.25">
      <c r="A1298" s="6" t="s">
        <v>41</v>
      </c>
    </row>
    <row r="1299" spans="1:1" x14ac:dyDescent="0.25">
      <c r="A1299" s="7" t="s">
        <v>41</v>
      </c>
    </row>
    <row r="1300" spans="1:1" x14ac:dyDescent="0.25">
      <c r="A1300" s="6" t="s">
        <v>41</v>
      </c>
    </row>
    <row r="1301" spans="1:1" x14ac:dyDescent="0.25">
      <c r="A1301" s="7" t="s">
        <v>41</v>
      </c>
    </row>
    <row r="1302" spans="1:1" x14ac:dyDescent="0.25">
      <c r="A1302" s="6" t="s">
        <v>41</v>
      </c>
    </row>
    <row r="1303" spans="1:1" x14ac:dyDescent="0.25">
      <c r="A1303" s="7" t="s">
        <v>41</v>
      </c>
    </row>
    <row r="1304" spans="1:1" x14ac:dyDescent="0.25">
      <c r="A1304" s="6" t="s">
        <v>41</v>
      </c>
    </row>
    <row r="1305" spans="1:1" x14ac:dyDescent="0.25">
      <c r="A1305" s="7" t="s">
        <v>41</v>
      </c>
    </row>
    <row r="1306" spans="1:1" x14ac:dyDescent="0.25">
      <c r="A1306" s="6" t="s">
        <v>41</v>
      </c>
    </row>
    <row r="1307" spans="1:1" x14ac:dyDescent="0.25">
      <c r="A1307" s="7" t="s">
        <v>41</v>
      </c>
    </row>
    <row r="1308" spans="1:1" x14ac:dyDescent="0.25">
      <c r="A1308" s="6" t="s">
        <v>41</v>
      </c>
    </row>
    <row r="1309" spans="1:1" x14ac:dyDescent="0.25">
      <c r="A1309" s="7" t="s">
        <v>41</v>
      </c>
    </row>
    <row r="1310" spans="1:1" x14ac:dyDescent="0.25">
      <c r="A1310" s="6" t="s">
        <v>41</v>
      </c>
    </row>
    <row r="1311" spans="1:1" x14ac:dyDescent="0.25">
      <c r="A1311" s="7" t="s">
        <v>41</v>
      </c>
    </row>
    <row r="1312" spans="1:1" x14ac:dyDescent="0.25">
      <c r="A1312" s="6" t="s">
        <v>41</v>
      </c>
    </row>
    <row r="1313" spans="1:1" x14ac:dyDescent="0.25">
      <c r="A1313" s="7" t="s">
        <v>41</v>
      </c>
    </row>
    <row r="1314" spans="1:1" x14ac:dyDescent="0.25">
      <c r="A1314" s="6" t="s">
        <v>41</v>
      </c>
    </row>
    <row r="1315" spans="1:1" x14ac:dyDescent="0.25">
      <c r="A1315" s="7" t="s">
        <v>41</v>
      </c>
    </row>
    <row r="1316" spans="1:1" x14ac:dyDescent="0.25">
      <c r="A1316" s="6" t="s">
        <v>41</v>
      </c>
    </row>
    <row r="1317" spans="1:1" x14ac:dyDescent="0.25">
      <c r="A1317" s="7" t="s">
        <v>41</v>
      </c>
    </row>
    <row r="1318" spans="1:1" x14ac:dyDescent="0.25">
      <c r="A1318" s="6" t="s">
        <v>41</v>
      </c>
    </row>
    <row r="1319" spans="1:1" x14ac:dyDescent="0.25">
      <c r="A1319" s="7" t="s">
        <v>41</v>
      </c>
    </row>
    <row r="1320" spans="1:1" x14ac:dyDescent="0.25">
      <c r="A1320" s="6" t="s">
        <v>41</v>
      </c>
    </row>
    <row r="1321" spans="1:1" x14ac:dyDescent="0.25">
      <c r="A1321" s="7" t="s">
        <v>41</v>
      </c>
    </row>
    <row r="1322" spans="1:1" x14ac:dyDescent="0.25">
      <c r="A1322" s="6" t="s">
        <v>41</v>
      </c>
    </row>
    <row r="1323" spans="1:1" x14ac:dyDescent="0.25">
      <c r="A1323" s="7" t="s">
        <v>41</v>
      </c>
    </row>
    <row r="1324" spans="1:1" x14ac:dyDescent="0.25">
      <c r="A1324" s="6" t="s">
        <v>41</v>
      </c>
    </row>
    <row r="1325" spans="1:1" x14ac:dyDescent="0.25">
      <c r="A1325" s="7" t="s">
        <v>41</v>
      </c>
    </row>
    <row r="1326" spans="1:1" x14ac:dyDescent="0.25">
      <c r="A1326" s="6" t="s">
        <v>41</v>
      </c>
    </row>
    <row r="1327" spans="1:1" x14ac:dyDescent="0.25">
      <c r="A1327" s="7" t="s">
        <v>41</v>
      </c>
    </row>
    <row r="1328" spans="1:1" x14ac:dyDescent="0.25">
      <c r="A1328" s="6" t="s">
        <v>41</v>
      </c>
    </row>
    <row r="1329" spans="1:1" x14ac:dyDescent="0.25">
      <c r="A1329" s="7" t="s">
        <v>41</v>
      </c>
    </row>
    <row r="1330" spans="1:1" x14ac:dyDescent="0.25">
      <c r="A1330" s="6" t="s">
        <v>41</v>
      </c>
    </row>
    <row r="1331" spans="1:1" x14ac:dyDescent="0.25">
      <c r="A1331" s="7" t="s">
        <v>41</v>
      </c>
    </row>
    <row r="1332" spans="1:1" x14ac:dyDescent="0.25">
      <c r="A1332" s="6" t="s">
        <v>41</v>
      </c>
    </row>
    <row r="1333" spans="1:1" x14ac:dyDescent="0.25">
      <c r="A1333" s="7" t="s">
        <v>41</v>
      </c>
    </row>
    <row r="1334" spans="1:1" x14ac:dyDescent="0.25">
      <c r="A1334" s="6" t="s">
        <v>41</v>
      </c>
    </row>
    <row r="1335" spans="1:1" x14ac:dyDescent="0.25">
      <c r="A1335" s="7" t="s">
        <v>41</v>
      </c>
    </row>
    <row r="1336" spans="1:1" x14ac:dyDescent="0.25">
      <c r="A1336" s="6" t="s">
        <v>41</v>
      </c>
    </row>
    <row r="1337" spans="1:1" x14ac:dyDescent="0.25">
      <c r="A1337" s="7" t="s">
        <v>41</v>
      </c>
    </row>
    <row r="1338" spans="1:1" x14ac:dyDescent="0.25">
      <c r="A1338" s="6" t="s">
        <v>41</v>
      </c>
    </row>
    <row r="1339" spans="1:1" x14ac:dyDescent="0.25">
      <c r="A1339" s="7" t="s">
        <v>41</v>
      </c>
    </row>
    <row r="1340" spans="1:1" x14ac:dyDescent="0.25">
      <c r="A1340" s="6" t="s">
        <v>41</v>
      </c>
    </row>
    <row r="1341" spans="1:1" x14ac:dyDescent="0.25">
      <c r="A1341" s="7" t="s">
        <v>41</v>
      </c>
    </row>
    <row r="1342" spans="1:1" x14ac:dyDescent="0.25">
      <c r="A1342" s="6" t="s">
        <v>41</v>
      </c>
    </row>
    <row r="1343" spans="1:1" x14ac:dyDescent="0.25">
      <c r="A1343" s="7" t="s">
        <v>41</v>
      </c>
    </row>
    <row r="1344" spans="1:1" x14ac:dyDescent="0.25">
      <c r="A1344" s="6" t="s">
        <v>41</v>
      </c>
    </row>
    <row r="1345" spans="1:1" x14ac:dyDescent="0.25">
      <c r="A1345" s="7" t="s">
        <v>41</v>
      </c>
    </row>
    <row r="1346" spans="1:1" x14ac:dyDescent="0.25">
      <c r="A1346" s="6" t="s">
        <v>41</v>
      </c>
    </row>
    <row r="1347" spans="1:1" x14ac:dyDescent="0.25">
      <c r="A1347" s="7" t="s">
        <v>41</v>
      </c>
    </row>
    <row r="1348" spans="1:1" x14ac:dyDescent="0.25">
      <c r="A1348" s="6" t="s">
        <v>41</v>
      </c>
    </row>
    <row r="1349" spans="1:1" x14ac:dyDescent="0.25">
      <c r="A1349" s="7" t="s">
        <v>41</v>
      </c>
    </row>
    <row r="1350" spans="1:1" x14ac:dyDescent="0.25">
      <c r="A1350" s="6" t="s">
        <v>41</v>
      </c>
    </row>
    <row r="1351" spans="1:1" x14ac:dyDescent="0.25">
      <c r="A1351" s="7" t="s">
        <v>41</v>
      </c>
    </row>
    <row r="1352" spans="1:1" x14ac:dyDescent="0.25">
      <c r="A1352" s="6" t="s">
        <v>41</v>
      </c>
    </row>
    <row r="1353" spans="1:1" x14ac:dyDescent="0.25">
      <c r="A1353" s="7" t="s">
        <v>41</v>
      </c>
    </row>
    <row r="1354" spans="1:1" x14ac:dyDescent="0.25">
      <c r="A1354" s="6" t="s">
        <v>41</v>
      </c>
    </row>
    <row r="1355" spans="1:1" x14ac:dyDescent="0.25">
      <c r="A1355" s="7" t="s">
        <v>41</v>
      </c>
    </row>
    <row r="1356" spans="1:1" x14ac:dyDescent="0.25">
      <c r="A1356" s="6" t="s">
        <v>41</v>
      </c>
    </row>
    <row r="1357" spans="1:1" x14ac:dyDescent="0.25">
      <c r="A1357" s="7" t="s">
        <v>41</v>
      </c>
    </row>
    <row r="1358" spans="1:1" x14ac:dyDescent="0.25">
      <c r="A1358" s="6" t="s">
        <v>41</v>
      </c>
    </row>
    <row r="1359" spans="1:1" x14ac:dyDescent="0.25">
      <c r="A1359" s="7" t="s">
        <v>41</v>
      </c>
    </row>
    <row r="1360" spans="1:1" x14ac:dyDescent="0.25">
      <c r="A1360" s="6" t="s">
        <v>41</v>
      </c>
    </row>
    <row r="1361" spans="1:1" x14ac:dyDescent="0.25">
      <c r="A1361" s="7" t="s">
        <v>41</v>
      </c>
    </row>
    <row r="1362" spans="1:1" x14ac:dyDescent="0.25">
      <c r="A1362" s="6" t="s">
        <v>41</v>
      </c>
    </row>
    <row r="1363" spans="1:1" x14ac:dyDescent="0.25">
      <c r="A1363" s="7" t="s">
        <v>41</v>
      </c>
    </row>
    <row r="1364" spans="1:1" x14ac:dyDescent="0.25">
      <c r="A1364" s="6" t="s">
        <v>41</v>
      </c>
    </row>
    <row r="1365" spans="1:1" x14ac:dyDescent="0.25">
      <c r="A1365" s="7" t="s">
        <v>41</v>
      </c>
    </row>
    <row r="1366" spans="1:1" x14ac:dyDescent="0.25">
      <c r="A1366" s="6" t="s">
        <v>41</v>
      </c>
    </row>
    <row r="1367" spans="1:1" x14ac:dyDescent="0.25">
      <c r="A1367" s="7" t="s">
        <v>41</v>
      </c>
    </row>
    <row r="1368" spans="1:1" x14ac:dyDescent="0.25">
      <c r="A1368" s="6" t="s">
        <v>41</v>
      </c>
    </row>
    <row r="1369" spans="1:1" x14ac:dyDescent="0.25">
      <c r="A1369" s="7" t="s">
        <v>41</v>
      </c>
    </row>
    <row r="1370" spans="1:1" x14ac:dyDescent="0.25">
      <c r="A1370" s="6" t="s">
        <v>41</v>
      </c>
    </row>
    <row r="1371" spans="1:1" x14ac:dyDescent="0.25">
      <c r="A1371" s="7" t="s">
        <v>41</v>
      </c>
    </row>
    <row r="1372" spans="1:1" x14ac:dyDescent="0.25">
      <c r="A1372" s="6" t="s">
        <v>41</v>
      </c>
    </row>
    <row r="1373" spans="1:1" x14ac:dyDescent="0.25">
      <c r="A1373" s="7" t="s">
        <v>41</v>
      </c>
    </row>
    <row r="1374" spans="1:1" x14ac:dyDescent="0.25">
      <c r="A1374" s="6" t="s">
        <v>41</v>
      </c>
    </row>
    <row r="1375" spans="1:1" x14ac:dyDescent="0.25">
      <c r="A1375" s="7" t="s">
        <v>41</v>
      </c>
    </row>
    <row r="1376" spans="1:1" x14ac:dyDescent="0.25">
      <c r="A1376" s="6" t="s">
        <v>41</v>
      </c>
    </row>
    <row r="1377" spans="1:1" x14ac:dyDescent="0.25">
      <c r="A1377" s="7" t="s">
        <v>41</v>
      </c>
    </row>
    <row r="1378" spans="1:1" x14ac:dyDescent="0.25">
      <c r="A1378" s="6" t="s">
        <v>41</v>
      </c>
    </row>
    <row r="1379" spans="1:1" x14ac:dyDescent="0.25">
      <c r="A1379" s="7" t="s">
        <v>41</v>
      </c>
    </row>
    <row r="1380" spans="1:1" x14ac:dyDescent="0.25">
      <c r="A1380" s="6" t="s">
        <v>41</v>
      </c>
    </row>
    <row r="1381" spans="1:1" x14ac:dyDescent="0.25">
      <c r="A1381" s="7" t="s">
        <v>41</v>
      </c>
    </row>
    <row r="1382" spans="1:1" x14ac:dyDescent="0.25">
      <c r="A1382" s="6" t="s">
        <v>41</v>
      </c>
    </row>
    <row r="1383" spans="1:1" x14ac:dyDescent="0.25">
      <c r="A1383" s="7" t="s">
        <v>41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selection activeCell="A23" sqref="A23"/>
    </sheetView>
  </sheetViews>
  <sheetFormatPr defaultRowHeight="15" x14ac:dyDescent="0.25"/>
  <cols>
    <col min="1" max="1" width="61" customWidth="1"/>
    <col min="2" max="2" width="15.140625" bestFit="1" customWidth="1"/>
  </cols>
  <sheetData>
    <row r="1" spans="1:2" x14ac:dyDescent="0.25">
      <c r="A1" s="9" t="s">
        <v>0</v>
      </c>
      <c r="B1" t="s">
        <v>2</v>
      </c>
    </row>
    <row r="3" spans="1:2" x14ac:dyDescent="0.25">
      <c r="A3" s="9" t="s">
        <v>5464</v>
      </c>
      <c r="B3" t="s">
        <v>5466</v>
      </c>
    </row>
    <row r="4" spans="1:2" x14ac:dyDescent="0.25">
      <c r="A4" s="10" t="s">
        <v>5314</v>
      </c>
      <c r="B4" s="11">
        <v>2</v>
      </c>
    </row>
    <row r="5" spans="1:2" x14ac:dyDescent="0.25">
      <c r="A5" s="10" t="s">
        <v>5450</v>
      </c>
      <c r="B5" s="11">
        <v>1</v>
      </c>
    </row>
    <row r="6" spans="1:2" x14ac:dyDescent="0.25">
      <c r="A6" s="10" t="s">
        <v>5258</v>
      </c>
      <c r="B6" s="11">
        <v>1</v>
      </c>
    </row>
    <row r="7" spans="1:2" x14ac:dyDescent="0.25">
      <c r="A7" s="10" t="s">
        <v>5262</v>
      </c>
      <c r="B7" s="11">
        <v>1</v>
      </c>
    </row>
    <row r="8" spans="1:2" x14ac:dyDescent="0.25">
      <c r="A8" s="10" t="s">
        <v>5254</v>
      </c>
      <c r="B8" s="11">
        <v>1</v>
      </c>
    </row>
    <row r="9" spans="1:2" x14ac:dyDescent="0.25">
      <c r="A9" s="10" t="s">
        <v>5246</v>
      </c>
      <c r="B9" s="11">
        <v>1</v>
      </c>
    </row>
    <row r="10" spans="1:2" x14ac:dyDescent="0.25">
      <c r="A10" s="10" t="s">
        <v>5250</v>
      </c>
      <c r="B10" s="11">
        <v>1</v>
      </c>
    </row>
    <row r="11" spans="1:2" x14ac:dyDescent="0.25">
      <c r="A11" s="10" t="s">
        <v>5233</v>
      </c>
      <c r="B11" s="11">
        <v>1</v>
      </c>
    </row>
    <row r="12" spans="1:2" x14ac:dyDescent="0.25">
      <c r="A12" s="10" t="s">
        <v>5238</v>
      </c>
      <c r="B12" s="11">
        <v>1</v>
      </c>
    </row>
    <row r="13" spans="1:2" x14ac:dyDescent="0.25">
      <c r="A13" s="10" t="s">
        <v>5242</v>
      </c>
      <c r="B13" s="11">
        <v>1</v>
      </c>
    </row>
    <row r="14" spans="1:2" x14ac:dyDescent="0.25">
      <c r="A14" s="10" t="s">
        <v>52</v>
      </c>
      <c r="B14" s="11">
        <v>1</v>
      </c>
    </row>
    <row r="15" spans="1:2" x14ac:dyDescent="0.25">
      <c r="A15" s="10" t="s">
        <v>5282</v>
      </c>
      <c r="B15" s="11">
        <v>1</v>
      </c>
    </row>
    <row r="16" spans="1:2" x14ac:dyDescent="0.25">
      <c r="A16" s="10" t="s">
        <v>5286</v>
      </c>
      <c r="B16" s="11">
        <v>1</v>
      </c>
    </row>
    <row r="17" spans="1:6" x14ac:dyDescent="0.25">
      <c r="A17" s="10" t="s">
        <v>5290</v>
      </c>
      <c r="B17" s="11">
        <v>1</v>
      </c>
    </row>
    <row r="18" spans="1:6" x14ac:dyDescent="0.25">
      <c r="A18" s="10" t="s">
        <v>5274</v>
      </c>
      <c r="B18" s="11">
        <v>1</v>
      </c>
    </row>
    <row r="19" spans="1:6" x14ac:dyDescent="0.25">
      <c r="A19" s="10" t="s">
        <v>5270</v>
      </c>
      <c r="B19" s="11">
        <v>1</v>
      </c>
      <c r="F19" t="s">
        <v>5467</v>
      </c>
    </row>
    <row r="20" spans="1:6" x14ac:dyDescent="0.25">
      <c r="A20" s="10" t="s">
        <v>5266</v>
      </c>
      <c r="B20" s="11">
        <v>1</v>
      </c>
    </row>
    <row r="21" spans="1:6" x14ac:dyDescent="0.25">
      <c r="A21" s="10" t="s">
        <v>5278</v>
      </c>
      <c r="B21" s="11">
        <v>1</v>
      </c>
    </row>
    <row r="22" spans="1:6" x14ac:dyDescent="0.25">
      <c r="A22" s="10" t="s">
        <v>5298</v>
      </c>
      <c r="B22" s="11">
        <v>1</v>
      </c>
    </row>
    <row r="23" spans="1:6" x14ac:dyDescent="0.25">
      <c r="A23" s="10" t="s">
        <v>5294</v>
      </c>
      <c r="B23" s="11">
        <v>1</v>
      </c>
    </row>
    <row r="24" spans="1:6" x14ac:dyDescent="0.25">
      <c r="A24" s="10" t="s">
        <v>5302</v>
      </c>
      <c r="B24" s="11">
        <v>1</v>
      </c>
    </row>
    <row r="25" spans="1:6" x14ac:dyDescent="0.25">
      <c r="A25" s="10" t="s">
        <v>5306</v>
      </c>
      <c r="B25" s="11">
        <v>1</v>
      </c>
    </row>
    <row r="26" spans="1:6" x14ac:dyDescent="0.25">
      <c r="A26" s="10" t="s">
        <v>5310</v>
      </c>
      <c r="B26" s="11">
        <v>1</v>
      </c>
    </row>
    <row r="27" spans="1:6" x14ac:dyDescent="0.25">
      <c r="A27" s="10" t="s">
        <v>5336</v>
      </c>
      <c r="B27" s="11">
        <v>1</v>
      </c>
    </row>
    <row r="28" spans="1:6" x14ac:dyDescent="0.25">
      <c r="A28" s="10" t="s">
        <v>5332</v>
      </c>
      <c r="B28" s="11">
        <v>1</v>
      </c>
    </row>
    <row r="29" spans="1:6" x14ac:dyDescent="0.25">
      <c r="A29" s="10" t="s">
        <v>5345</v>
      </c>
      <c r="B29" s="11">
        <v>1</v>
      </c>
    </row>
    <row r="30" spans="1:6" x14ac:dyDescent="0.25">
      <c r="A30" s="10" t="s">
        <v>5340</v>
      </c>
      <c r="B30" s="11">
        <v>2</v>
      </c>
    </row>
    <row r="31" spans="1:6" x14ac:dyDescent="0.25">
      <c r="A31" s="10" t="s">
        <v>5328</v>
      </c>
      <c r="B31" s="11">
        <v>1</v>
      </c>
    </row>
    <row r="32" spans="1:6" x14ac:dyDescent="0.25">
      <c r="A32" s="10" t="s">
        <v>5320</v>
      </c>
      <c r="B32" s="11">
        <v>1</v>
      </c>
    </row>
    <row r="33" spans="1:2" x14ac:dyDescent="0.25">
      <c r="A33" s="10" t="s">
        <v>5324</v>
      </c>
      <c r="B33" s="11">
        <v>1</v>
      </c>
    </row>
    <row r="34" spans="1:2" x14ac:dyDescent="0.25">
      <c r="A34" s="10" t="s">
        <v>102</v>
      </c>
      <c r="B34" s="11">
        <v>1</v>
      </c>
    </row>
    <row r="35" spans="1:2" x14ac:dyDescent="0.25">
      <c r="A35" s="10" t="s">
        <v>5405</v>
      </c>
      <c r="B35" s="11">
        <v>1</v>
      </c>
    </row>
    <row r="36" spans="1:2" x14ac:dyDescent="0.25">
      <c r="A36" s="10" t="s">
        <v>115</v>
      </c>
      <c r="B36" s="11">
        <v>1</v>
      </c>
    </row>
    <row r="37" spans="1:2" x14ac:dyDescent="0.25">
      <c r="A37" s="10" t="s">
        <v>119</v>
      </c>
      <c r="B37" s="11">
        <v>1</v>
      </c>
    </row>
    <row r="38" spans="1:2" x14ac:dyDescent="0.25">
      <c r="A38" s="10" t="s">
        <v>5398</v>
      </c>
      <c r="B38" s="11">
        <v>1</v>
      </c>
    </row>
    <row r="39" spans="1:2" x14ac:dyDescent="0.25">
      <c r="A39" s="10" t="s">
        <v>5401</v>
      </c>
      <c r="B39" s="11">
        <v>1</v>
      </c>
    </row>
    <row r="40" spans="1:2" x14ac:dyDescent="0.25">
      <c r="A40" s="10" t="s">
        <v>5421</v>
      </c>
      <c r="B40" s="11">
        <v>1</v>
      </c>
    </row>
    <row r="41" spans="1:2" x14ac:dyDescent="0.25">
      <c r="A41" s="10" t="s">
        <v>5425</v>
      </c>
      <c r="B41" s="11">
        <v>1</v>
      </c>
    </row>
    <row r="42" spans="1:2" x14ac:dyDescent="0.25">
      <c r="A42" s="10" t="s">
        <v>5429</v>
      </c>
      <c r="B42" s="11">
        <v>1</v>
      </c>
    </row>
    <row r="43" spans="1:2" x14ac:dyDescent="0.25">
      <c r="A43" s="10" t="s">
        <v>5433</v>
      </c>
      <c r="B43" s="11">
        <v>1</v>
      </c>
    </row>
    <row r="44" spans="1:2" x14ac:dyDescent="0.25">
      <c r="A44" s="10" t="s">
        <v>5409</v>
      </c>
      <c r="B44" s="11">
        <v>1</v>
      </c>
    </row>
    <row r="45" spans="1:2" x14ac:dyDescent="0.25">
      <c r="A45" s="10" t="s">
        <v>5417</v>
      </c>
      <c r="B45" s="11">
        <v>1</v>
      </c>
    </row>
    <row r="46" spans="1:2" x14ac:dyDescent="0.25">
      <c r="A46" s="10" t="s">
        <v>5413</v>
      </c>
      <c r="B46" s="11">
        <v>1</v>
      </c>
    </row>
    <row r="47" spans="1:2" x14ac:dyDescent="0.25">
      <c r="A47" s="10" t="s">
        <v>5455</v>
      </c>
      <c r="B47" s="11">
        <v>1</v>
      </c>
    </row>
    <row r="48" spans="1:2" x14ac:dyDescent="0.25">
      <c r="A48" s="10" t="s">
        <v>151</v>
      </c>
      <c r="B48" s="11">
        <v>1</v>
      </c>
    </row>
    <row r="49" spans="1:2" x14ac:dyDescent="0.25">
      <c r="A49" s="10" t="s">
        <v>5357</v>
      </c>
      <c r="B49" s="11">
        <v>1</v>
      </c>
    </row>
    <row r="50" spans="1:2" x14ac:dyDescent="0.25">
      <c r="A50" s="10" t="s">
        <v>5353</v>
      </c>
      <c r="B50" s="11">
        <v>1</v>
      </c>
    </row>
    <row r="51" spans="1:2" x14ac:dyDescent="0.25">
      <c r="A51" s="10" t="s">
        <v>5349</v>
      </c>
      <c r="B51" s="11">
        <v>1</v>
      </c>
    </row>
    <row r="52" spans="1:2" x14ac:dyDescent="0.25">
      <c r="A52" s="10" t="s">
        <v>5361</v>
      </c>
      <c r="B52" s="11">
        <v>1</v>
      </c>
    </row>
    <row r="53" spans="1:2" x14ac:dyDescent="0.25">
      <c r="A53" s="10" t="s">
        <v>5365</v>
      </c>
      <c r="B53" s="11">
        <v>1</v>
      </c>
    </row>
    <row r="54" spans="1:2" x14ac:dyDescent="0.25">
      <c r="A54" s="10" t="s">
        <v>5373</v>
      </c>
      <c r="B54" s="11">
        <v>1</v>
      </c>
    </row>
    <row r="55" spans="1:2" x14ac:dyDescent="0.25">
      <c r="A55" s="10" t="s">
        <v>5369</v>
      </c>
      <c r="B55" s="11">
        <v>1</v>
      </c>
    </row>
    <row r="56" spans="1:2" x14ac:dyDescent="0.25">
      <c r="A56" s="10" t="s">
        <v>5388</v>
      </c>
      <c r="B56" s="11">
        <v>1</v>
      </c>
    </row>
    <row r="57" spans="1:2" x14ac:dyDescent="0.25">
      <c r="A57" s="10" t="s">
        <v>5392</v>
      </c>
      <c r="B57" s="11">
        <v>2</v>
      </c>
    </row>
    <row r="58" spans="1:2" x14ac:dyDescent="0.25">
      <c r="A58" s="10" t="s">
        <v>5384</v>
      </c>
      <c r="B58" s="11">
        <v>1</v>
      </c>
    </row>
    <row r="59" spans="1:2" x14ac:dyDescent="0.25">
      <c r="A59" s="10" t="s">
        <v>5377</v>
      </c>
      <c r="B59" s="11">
        <v>1</v>
      </c>
    </row>
    <row r="60" spans="1:2" x14ac:dyDescent="0.25">
      <c r="A60" s="10" t="s">
        <v>5380</v>
      </c>
      <c r="B60" s="11">
        <v>1</v>
      </c>
    </row>
    <row r="61" spans="1:2" x14ac:dyDescent="0.25">
      <c r="A61" s="10" t="s">
        <v>5441</v>
      </c>
      <c r="B61" s="11">
        <v>2</v>
      </c>
    </row>
    <row r="62" spans="1:2" x14ac:dyDescent="0.25">
      <c r="A62" s="10" t="s">
        <v>5446</v>
      </c>
      <c r="B62" s="11">
        <v>1</v>
      </c>
    </row>
    <row r="63" spans="1:2" x14ac:dyDescent="0.25">
      <c r="A63" s="10" t="s">
        <v>5437</v>
      </c>
      <c r="B63" s="11">
        <v>1</v>
      </c>
    </row>
    <row r="64" spans="1:2" x14ac:dyDescent="0.25">
      <c r="A64" s="10" t="s">
        <v>5465</v>
      </c>
      <c r="B64" s="11">
        <v>64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O11" sqref="O11"/>
    </sheetView>
  </sheetViews>
  <sheetFormatPr defaultRowHeight="15" x14ac:dyDescent="0.25"/>
  <cols>
    <col min="1" max="1" width="17" style="13" customWidth="1"/>
    <col min="2" max="2" width="19.5703125" style="13" bestFit="1" customWidth="1"/>
    <col min="3" max="3" width="4.28515625" style="13" customWidth="1"/>
    <col min="4" max="4" width="7" style="13" customWidth="1"/>
    <col min="5" max="5" width="10.7109375" style="13" bestFit="1" customWidth="1"/>
  </cols>
  <sheetData>
    <row r="1" spans="1:5" x14ac:dyDescent="0.25">
      <c r="B1" s="14" t="s">
        <v>5468</v>
      </c>
    </row>
    <row r="2" spans="1:5" x14ac:dyDescent="0.25">
      <c r="B2" s="13" t="s">
        <v>56</v>
      </c>
      <c r="C2" s="13" t="s">
        <v>46</v>
      </c>
      <c r="D2" s="13" t="s">
        <v>5469</v>
      </c>
      <c r="E2" s="13" t="s">
        <v>5465</v>
      </c>
    </row>
    <row r="3" spans="1:5" x14ac:dyDescent="0.25">
      <c r="A3" s="13" t="s">
        <v>5470</v>
      </c>
      <c r="B3" s="15">
        <v>1107</v>
      </c>
      <c r="C3" s="15">
        <v>275</v>
      </c>
      <c r="D3" s="15"/>
      <c r="E3" s="15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 de logistica noite</vt:lpstr>
      <vt:lpstr>Contagem de Paises</vt:lpstr>
      <vt:lpstr>Empresas no DF</vt:lpstr>
      <vt:lpstr>Adesão ao decreto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Carlos Alberto Vertuli BETO</cp:lastModifiedBy>
  <cp:revision/>
  <dcterms:created xsi:type="dcterms:W3CDTF">2026-08-21T22:42:36Z</dcterms:created>
  <dcterms:modified xsi:type="dcterms:W3CDTF">2026-10-17T20:01:46Z</dcterms:modified>
  <cp:category/>
  <cp:contentStatus/>
</cp:coreProperties>
</file>